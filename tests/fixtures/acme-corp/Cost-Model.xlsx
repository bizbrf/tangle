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GS" sheetId="1" r:id="rId1"/>
    <sheet name="OpEx" sheetId="2" r:id="rId2"/>
    <sheet name="Trend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Data>
    <row r="1">
      <c r="A1" t="str">
        <v>Category</v>
      </c>
      <c r="B1">
        <v>2024</v>
      </c>
      <c r="C1">
        <v>2025</v>
      </c>
      <c r="D1">
        <v>2026</v>
      </c>
      <c r="E1">
        <v>2027</v>
      </c>
      <c r="F1">
        <v>2028</v>
      </c>
    </row>
    <row r="2">
      <c r="A2" t="str">
        <v>Hosting &amp; Infrastructure</v>
      </c>
      <c r="B2">
        <f>IFERROR('[Revenue-Model.xlsx]Revenue'!B7*'[Assumptions.xlsx]Rates'!C2*0.5,0)</f>
        <v>0</v>
      </c>
      <c r="C2">
        <f>IFERROR('[Revenue-Model.xlsx]Revenue'!C7*'[Assumptions.xlsx]Rates'!C3*0.5,0)</f>
        <v>0</v>
      </c>
      <c r="D2">
        <f>IFERROR('[Revenue-Model.xlsx]Revenue'!D7*'[Assumptions.xlsx]Rates'!C4*0.5,0)</f>
        <v>0</v>
      </c>
      <c r="E2">
        <f>IFERROR('[Revenue-Model.xlsx]Revenue'!E7*'[Assumptions.xlsx]Rates'!C5*0.5,0)</f>
        <v>0</v>
      </c>
      <c r="F2">
        <f>IFERROR('[Revenue-Model.xlsx]Revenue'!F7*'[Assumptions.xlsx]Rates'!C6*0.5,0)</f>
        <v>0</v>
      </c>
    </row>
    <row r="3">
      <c r="A3" t="str">
        <v>Support Staff</v>
      </c>
      <c r="B3">
        <f>IFERROR('[People.xlsx]Compensation'!B16,0)</f>
        <v>0</v>
      </c>
      <c r="C3">
        <f>IFERROR('[People.xlsx]Compensation'!C16,0)</f>
        <v>0</v>
      </c>
      <c r="D3">
        <f>IFERROR('[People.xlsx]Compensation'!D16,0)</f>
        <v>0</v>
      </c>
      <c r="E3">
        <f>IFERROR('[People.xlsx]Compensation'!E16,0)</f>
        <v>0</v>
      </c>
      <c r="F3">
        <f>IFERROR('[People.xlsx]Compensation'!F16,0)</f>
        <v>0</v>
      </c>
    </row>
    <row r="4">
      <c r="A4" t="str">
        <v>Third-Party Licenses</v>
      </c>
      <c r="B4">
        <f>'[Revenue-Model.xlsx]Revenue'!B7*0.05</f>
        <v>0</v>
      </c>
      <c r="C4">
        <f>'[Revenue-Model.xlsx]Revenue'!C7*0.05</f>
        <v>0</v>
      </c>
      <c r="D4">
        <f>'[Revenue-Model.xlsx]Revenue'!D7*0.05</f>
        <v>0</v>
      </c>
      <c r="E4">
        <f>'[Revenue-Model.xlsx]Revenue'!E7*0.05</f>
        <v>0</v>
      </c>
      <c r="F4">
        <f>'[Revenue-Model.xlsx]Revenue'!F7*0.05</f>
        <v>0</v>
      </c>
    </row>
    <row r="5">
      <c r="A5" t="str">
        <v>Payment Processing</v>
      </c>
      <c r="B5">
        <f>'[Revenue-Model.xlsx]Revenue'!B7*0.02</f>
        <v>0</v>
      </c>
      <c r="C5">
        <f>'[Revenue-Model.xlsx]Revenue'!C7*0.02</f>
        <v>0</v>
      </c>
      <c r="D5">
        <f>'[Revenue-Model.xlsx]Revenue'!D7*0.02</f>
        <v>0</v>
      </c>
      <c r="E5">
        <f>'[Revenue-Model.xlsx]Revenue'!E7*0.02</f>
        <v>0</v>
      </c>
      <c r="F5">
        <f>'[Revenue-Model.xlsx]Revenue'!F7*0.02</f>
        <v>0</v>
      </c>
    </row>
    <row r="6">
      <c r="A6" t="str">
        <v>Total COGS</v>
      </c>
      <c r="B6">
        <f>SUM(B2:B5)</f>
        <v>0</v>
      </c>
      <c r="C6">
        <f>SUM(C2:C5)</f>
        <v>0</v>
      </c>
      <c r="D6">
        <f>SUM(D2:D5)</f>
        <v>0</v>
      </c>
      <c r="E6">
        <f>SUM(E2:E5)</f>
        <v>0</v>
      </c>
      <c r="F6">
        <f>SUM(F2:F5)</f>
        <v>0</v>
      </c>
    </row>
    <row r="7">
      <c r="A7" t="str">
        <v>Gross Margin %</v>
      </c>
      <c r="B7">
        <f>IFERROR(1-(B6/'[Revenue-Model.xlsx]Revenue'!B7),0)</f>
        <v>0</v>
      </c>
      <c r="C7">
        <f>IFERROR(1-(C6/'[Revenue-Model.xlsx]Revenue'!C7),0)</f>
        <v>0</v>
      </c>
      <c r="D7">
        <f>IFERROR(1-(D6/'[Revenue-Model.xlsx]Revenue'!D7),0)</f>
        <v>0</v>
      </c>
      <c r="E7">
        <f>IFERROR(1-(E6/'[Revenue-Model.xlsx]Revenue'!E7),0)</f>
        <v>0</v>
      </c>
      <c r="F7">
        <f>IFERROR(1-(F6/'[Revenue-Model.xlsx]Revenue'!F7),0)</f>
        <v>0</v>
      </c>
    </row>
  </sheetData>
  <ignoredErrors>
    <ignoredError numberStoredAsText="1" sqref="A1:F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15"/>
  <sheetViews>
    <sheetView workbookViewId="0"/>
  </sheetViews>
  <sheetData>
    <row r="1">
      <c r="A1" t="str">
        <v>Category</v>
      </c>
      <c r="B1">
        <v>2024</v>
      </c>
      <c r="C1">
        <v>2025</v>
      </c>
      <c r="D1">
        <v>2026</v>
      </c>
      <c r="E1">
        <v>2027</v>
      </c>
      <c r="F1">
        <v>2028</v>
      </c>
    </row>
    <row r="2">
      <c r="A2" t="str">
        <v>People - Engineering</v>
      </c>
      <c r="B2">
        <f>IFERROR('[People.xlsx]Summary'!B2,0)</f>
        <v>0</v>
      </c>
      <c r="C2">
        <f>IFERROR('[People.xlsx]Summary'!C2,0)</f>
        <v>0</v>
      </c>
      <c r="D2">
        <f>IFERROR('[People.xlsx]Summary'!D2,0)</f>
        <v>0</v>
      </c>
      <c r="E2">
        <f>IFERROR('[People.xlsx]Summary'!E2,0)</f>
        <v>0</v>
      </c>
      <c r="F2">
        <f>IFERROR('[People.xlsx]Summary'!F2,0)</f>
        <v>0</v>
      </c>
    </row>
    <row r="3">
      <c r="A3" t="str">
        <v>People - Sales</v>
      </c>
      <c r="B3">
        <f>IFERROR('[People.xlsx]Summary'!B3,0)</f>
        <v>0</v>
      </c>
      <c r="C3">
        <f>IFERROR('[People.xlsx]Summary'!C3,0)</f>
        <v>0</v>
      </c>
      <c r="D3">
        <f>IFERROR('[People.xlsx]Summary'!D3,0)</f>
        <v>0</v>
      </c>
      <c r="E3">
        <f>IFERROR('[People.xlsx]Summary'!E3,0)</f>
        <v>0</v>
      </c>
      <c r="F3">
        <f>IFERROR('[People.xlsx]Summary'!F3,0)</f>
        <v>0</v>
      </c>
    </row>
    <row r="4">
      <c r="A4" t="str">
        <v>People - Marketing</v>
      </c>
      <c r="B4">
        <f>IFERROR('[People.xlsx]Summary'!B4,0)</f>
        <v>0</v>
      </c>
      <c r="C4">
        <f>IFERROR('[People.xlsx]Summary'!C4,0)</f>
        <v>0</v>
      </c>
      <c r="D4">
        <f>IFERROR('[People.xlsx]Summary'!D4,0)</f>
        <v>0</v>
      </c>
      <c r="E4">
        <f>IFERROR('[People.xlsx]Summary'!E4,0)</f>
        <v>0</v>
      </c>
      <c r="F4">
        <f>IFERROR('[People.xlsx]Summary'!F4,0)</f>
        <v>0</v>
      </c>
    </row>
    <row r="5">
      <c r="A5" t="str">
        <v>People - G&amp;A</v>
      </c>
      <c r="B5">
        <f>IFERROR('[People.xlsx]Summary'!B5,0)</f>
        <v>0</v>
      </c>
      <c r="C5">
        <f>IFERROR('[People.xlsx]Summary'!C5,0)</f>
        <v>0</v>
      </c>
      <c r="D5">
        <f>IFERROR('[People.xlsx]Summary'!D5,0)</f>
        <v>0</v>
      </c>
      <c r="E5">
        <f>IFERROR('[People.xlsx]Summary'!E5,0)</f>
        <v>0</v>
      </c>
      <c r="F5">
        <f>IFERROR('[People.xlsx]Summary'!F5,0)</f>
        <v>0</v>
      </c>
    </row>
    <row r="6">
      <c r="A6" t="str">
        <v>People - Executive</v>
      </c>
      <c r="B6">
        <f>IFERROR('[People.xlsx]Summary'!B6,0)</f>
        <v>0</v>
      </c>
      <c r="C6">
        <f>IFERROR('[People.xlsx]Summary'!C6,0)</f>
        <v>0</v>
      </c>
      <c r="D6">
        <f>IFERROR('[People.xlsx]Summary'!D6,0)</f>
        <v>0</v>
      </c>
      <c r="E6">
        <f>IFERROR('[People.xlsx]Summary'!E6,0)</f>
        <v>0</v>
      </c>
      <c r="F6">
        <f>IFERROR('[People.xlsx]Summary'!F6,0)</f>
        <v>0</v>
      </c>
    </row>
    <row r="7">
      <c r="A7" t="str">
        <v>Rent &amp; Facilities</v>
      </c>
      <c r="B7">
        <v>2000000</v>
      </c>
      <c r="C7">
        <f>B7*(1+'[Assumptions.xlsx]Global'!$B$5)</f>
        <v>0</v>
      </c>
      <c r="D7">
        <f>C7*(1+'[Assumptions.xlsx]Global'!$B$5)</f>
        <v>0</v>
      </c>
      <c r="E7">
        <f>D7*(1+'[Assumptions.xlsx]Global'!$B$5)</f>
        <v>0</v>
      </c>
      <c r="F7">
        <f>E7*(1+'[Assumptions.xlsx]Global'!$B$5)</f>
        <v>0</v>
      </c>
    </row>
    <row r="8">
      <c r="A8" t="str">
        <v>Software &amp; Tools</v>
      </c>
      <c r="B8">
        <v>500000</v>
      </c>
      <c r="C8">
        <f>B8*(1+'[Assumptions.xlsx]Global'!$B$5*1.5)</f>
        <v>0</v>
      </c>
      <c r="D8">
        <f>C8*(1+'[Assumptions.xlsx]Global'!$B$5*1.5)</f>
        <v>0</v>
      </c>
      <c r="E8">
        <f>D8*(1+'[Assumptions.xlsx]Global'!$B$5*1.5)</f>
        <v>0</v>
      </c>
      <c r="F8">
        <f>E8*(1+'[Assumptions.xlsx]Global'!$B$5*1.5)</f>
        <v>0</v>
      </c>
    </row>
    <row r="9">
      <c r="A9" t="str">
        <v>Travel</v>
      </c>
      <c r="B9">
        <v>300000</v>
      </c>
      <c r="C9">
        <f>B9*(1+'[Assumptions.xlsx]Global'!$B$5*0.8)</f>
        <v>0</v>
      </c>
      <c r="D9">
        <f>C9*(1+'[Assumptions.xlsx]Global'!$B$5*0.8)</f>
        <v>0</v>
      </c>
      <c r="E9">
        <f>D9*(1+'[Assumptions.xlsx]Global'!$B$5*0.8)</f>
        <v>0</v>
      </c>
      <c r="F9">
        <f>E9*(1+'[Assumptions.xlsx]Global'!$B$5*0.8)</f>
        <v>0</v>
      </c>
    </row>
    <row r="10">
      <c r="A10" t="str">
        <v>Marketing Spend</v>
      </c>
      <c r="B10">
        <f>IFERROR('[Revenue-Model.xlsx]Revenue'!B7*0.08,0)</f>
        <v>0</v>
      </c>
      <c r="C10">
        <f>IFERROR('[Revenue-Model.xlsx]Revenue'!C7*0.08,0)</f>
        <v>0</v>
      </c>
      <c r="D10">
        <f>IFERROR('[Revenue-Model.xlsx]Revenue'!D7*0.08,0)</f>
        <v>0</v>
      </c>
      <c r="E10">
        <f>IFERROR('[Revenue-Model.xlsx]Revenue'!E7*0.08,0)</f>
        <v>0</v>
      </c>
      <c r="F10">
        <f>IFERROR('[Revenue-Model.xlsx]Revenue'!F7*0.08,0)</f>
        <v>0</v>
      </c>
    </row>
    <row r="11">
      <c r="A11" t="str">
        <v>Professional Fees</v>
      </c>
      <c r="B11">
        <v>400000</v>
      </c>
      <c r="C11">
        <f>B11*(1+'[Assumptions.xlsx]Global'!$B$5)</f>
        <v>0</v>
      </c>
      <c r="D11">
        <f>C11*(1+'[Assumptions.xlsx]Global'!$B$5)</f>
        <v>0</v>
      </c>
      <c r="E11">
        <f>D11*(1+'[Assumptions.xlsx]Global'!$B$5)</f>
        <v>0</v>
      </c>
      <c r="F11">
        <f>E11*(1+'[Assumptions.xlsx]Global'!$B$5)</f>
        <v>0</v>
      </c>
    </row>
    <row r="12">
      <c r="A12" t="str">
        <v>Insurance</v>
      </c>
      <c r="B12">
        <v>200000</v>
      </c>
      <c r="C12">
        <f>B12*(1+'[Assumptions.xlsx]Global'!$B$5*0.5)</f>
        <v>0</v>
      </c>
      <c r="D12">
        <f>C12*(1+'[Assumptions.xlsx]Global'!$B$5*0.5)</f>
        <v>0</v>
      </c>
      <c r="E12">
        <f>D12*(1+'[Assumptions.xlsx]Global'!$B$5*0.5)</f>
        <v>0</v>
      </c>
      <c r="F12">
        <f>E12*(1+'[Assumptions.xlsx]Global'!$B$5*0.5)</f>
        <v>0</v>
      </c>
    </row>
    <row r="13">
      <c r="A13" t="str">
        <v>Total OpEx</v>
      </c>
      <c r="B13">
        <f>SUM(B2:B12)</f>
        <v>0</v>
      </c>
      <c r="C13">
        <f>SUM(C2:C12)</f>
        <v>0</v>
      </c>
      <c r="D13">
        <f>SUM(D2:D12)</f>
        <v>0</v>
      </c>
      <c r="E13">
        <f>SUM(E2:E12)</f>
        <v>0</v>
      </c>
      <c r="F13">
        <f>SUM(F2:F12)</f>
        <v>0</v>
      </c>
    </row>
    <row r="15">
      <c r="A15" t="str">
        <v>Trailing 3Y Avg OpEx</v>
      </c>
      <c r="B15">
        <f>IFERROR(AVERAGE(OFFSET(F13,0,-2,1,3)),0)</f>
        <v>0</v>
      </c>
    </row>
  </sheetData>
  <ignoredErrors>
    <ignoredError numberStoredAsText="1" sqref="A1:F1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Data>
    <row r="1">
      <c r="A1" t="str">
        <v>Metric</v>
      </c>
      <c r="B1">
        <v>2024</v>
      </c>
      <c r="C1">
        <v>2025</v>
      </c>
      <c r="D1">
        <v>2026</v>
      </c>
      <c r="E1">
        <v>2027</v>
      </c>
      <c r="F1">
        <v>2028</v>
      </c>
      <c r="G1" t="str">
        <v>CAGR</v>
      </c>
    </row>
    <row r="2">
      <c r="A2" t="str">
        <v>Total COGS</v>
      </c>
      <c r="B2">
        <f>COGS!B6</f>
        <v>0</v>
      </c>
      <c r="C2">
        <f>COGS!C6</f>
        <v>0</v>
      </c>
      <c r="D2">
        <f>COGS!D6</f>
        <v>0</v>
      </c>
      <c r="E2">
        <f>COGS!E6</f>
        <v>0</v>
      </c>
      <c r="F2">
        <f>COGS!F6</f>
        <v>0</v>
      </c>
      <c r="G2">
        <f>LET(s,B2,e,F2,n,4,(e/s)^(1/n)-1)</f>
        <v>0</v>
      </c>
    </row>
    <row r="3">
      <c r="A3" t="str">
        <v>Total OpEx</v>
      </c>
      <c r="B3">
        <f>OpEx!B13</f>
        <v>0</v>
      </c>
      <c r="C3">
        <f>OpEx!C13</f>
        <v>0</v>
      </c>
      <c r="D3">
        <f>OpEx!D13</f>
        <v>0</v>
      </c>
      <c r="E3">
        <f>OpEx!E13</f>
        <v>0</v>
      </c>
      <c r="F3">
        <f>OpEx!F13</f>
        <v>0</v>
      </c>
      <c r="G3">
        <f>LET(s,B3,e,F3,n,4,(e/s)^(1/n)-1)</f>
        <v>0</v>
      </c>
    </row>
    <row r="5">
      <c r="A5" t="str">
        <v>COGS via INDIRECT</v>
      </c>
      <c r="B5">
        <f>INDIRECT("COGS!B6")</f>
        <v>0</v>
      </c>
    </row>
  </sheetData>
  <ignoredErrors>
    <ignoredError numberStoredAsText="1" sqref="A1:G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COGS</vt:lpstr>
      <vt:lpstr>OpEx</vt:lpstr>
      <vt:lpstr>Trends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
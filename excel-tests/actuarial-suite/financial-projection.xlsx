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ncial Assumptions" sheetId="1" r:id="rId1"/>
    <sheet name="P&amp;L Auto" sheetId="2" r:id="rId2"/>
    <sheet name="P&amp;L GL" sheetId="3" r:id="rId3"/>
    <sheet name="P&amp;L WC" sheetId="4" r:id="rId4"/>
    <sheet name="P&amp;L Property" sheetId="5" r:id="rId5"/>
    <sheet name="P&amp;L Professional" sheetId="6" r:id="rId6"/>
    <sheet name="P&amp;L Umbrella" sheetId="7" r:id="rId7"/>
    <sheet name="P&amp;L Surety" sheetId="8" r:id="rId8"/>
    <sheet name="P&amp;L Marine" sheetId="9" r:id="rId9"/>
    <sheet name="Consolidated P&amp;L" sheetId="10" r:id="rId10"/>
    <sheet name="Balance Sheet" sheetId="11" r:id="rId11"/>
    <sheet name="Cash Flow" sheetId="12" r:id="rId12"/>
    <sheet name="Investment Portfolio" sheetId="13" r:id="rId13"/>
    <sheet name="Dashboard" sheetId="14" r:id="rId14"/>
  </sheets>
  <definedNames>
    <definedName name="InvYield">'Financial Assumptions'!$B$4</definedName>
    <definedName name="ReinvRate">'Financial Assumptions'!$B$5</definedName>
    <definedName name="RiskFreeRate">'Financial Assumptions'!$B$6</definedName>
    <definedName name="EquityReturn">'Financial Assumptions'!$B$7</definedName>
    <definedName name="BondDuration">'Financial Assumptions'!$B$8</definedName>
    <definedName name="SurplusTarget">'Financial Assumptions'!$B$9</definedName>
    <definedName name="DividendPayout">'Financial Assumptions'!$B$10</definedName>
    <definedName name="FinTaxRate">'Financial Assumptions'!$B$11</definedName>
    <definedName name="DACAmort">'Financial Assumptions'!$B$12</definedName>
    <definedName name="CedingComm">'Financial Assumptions'!$B$13</definedName>
    <definedName name="PolDividend">'Financial Assumptions'!$B$14</definedName>
    <definedName name="AssessRate">'Financial Assumptions'!$B$15</definedName>
    <definedName name="SalvageRate">'Financial Assumptions'!$B$16</definedName>
    <definedName name="ReinsRecov">'Financial Assumptions'!$B$17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Financial Projection Assumptions</v>
      </c>
    </row>
    <row r="2">
      <c r="A2" t="str">
        <v/>
      </c>
    </row>
    <row r="3">
      <c r="A3" t="str">
        <v>Parameter</v>
      </c>
      <c r="B3" t="str">
        <v>Value</v>
      </c>
    </row>
    <row r="4">
      <c r="A4" t="str">
        <v>Investment Yield</v>
      </c>
      <c r="B4">
        <v>0.042</v>
      </c>
    </row>
    <row r="5">
      <c r="A5" t="str">
        <v>Reinvestment Rate</v>
      </c>
      <c r="B5">
        <v>0.038</v>
      </c>
    </row>
    <row r="6">
      <c r="A6" t="str">
        <v>Risk-Free Rate</v>
      </c>
      <c r="B6">
        <v>0.035</v>
      </c>
    </row>
    <row r="7">
      <c r="A7" t="str">
        <v>Equity Return</v>
      </c>
      <c r="B7">
        <v>0.08</v>
      </c>
    </row>
    <row r="8">
      <c r="A8" t="str">
        <v>Bond Duration</v>
      </c>
      <c r="B8">
        <v>4.5</v>
      </c>
    </row>
    <row r="9">
      <c r="A9" t="str">
        <v>Surplus Ratio Target</v>
      </c>
      <c r="B9">
        <v>0.35</v>
      </c>
    </row>
    <row r="10">
      <c r="A10" t="str">
        <v>Dividend Payout Ratio</v>
      </c>
      <c r="B10">
        <v>0.3</v>
      </c>
    </row>
    <row r="11">
      <c r="A11" t="str">
        <v>Tax Rate</v>
      </c>
      <c r="B11">
        <v>0.21</v>
      </c>
    </row>
    <row r="12">
      <c r="A12" t="str">
        <v>DAC Amortization</v>
      </c>
      <c r="B12">
        <v>0.15</v>
      </c>
    </row>
    <row r="13">
      <c r="A13" t="str">
        <v>Ceding Commission</v>
      </c>
      <c r="B13">
        <v>0.25</v>
      </c>
    </row>
    <row r="14">
      <c r="A14" t="str">
        <v>Policyholders Dividend</v>
      </c>
      <c r="B14">
        <v>0.02</v>
      </c>
    </row>
    <row r="15">
      <c r="A15" t="str">
        <v>Assessment Rate</v>
      </c>
      <c r="B15">
        <v>0.01</v>
      </c>
    </row>
    <row r="16">
      <c r="A16" t="str">
        <v>Salvage Rate</v>
      </c>
      <c r="B16">
        <v>0.03</v>
      </c>
    </row>
    <row r="17">
      <c r="A17" t="str">
        <v>Reinsurance Recoverable %</v>
      </c>
      <c r="B17">
        <v>0.2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Quarter</v>
      </c>
      <c r="B1" t="str">
        <v>Gross WP</v>
      </c>
      <c r="C1" t="str">
        <v>Ceded WP</v>
      </c>
      <c r="D1" t="str">
        <v>Net WP</v>
      </c>
      <c r="E1" t="str">
        <v>Net EP</v>
      </c>
      <c r="F1" t="str">
        <v>Incurred Loss</v>
      </c>
      <c r="G1" t="str">
        <v>ALAE</v>
      </c>
      <c r="H1" t="str">
        <v>ULAE</v>
      </c>
      <c r="I1" t="str">
        <v>Net Loss</v>
      </c>
      <c r="J1" t="str">
        <v>UW Expense</v>
      </c>
      <c r="K1" t="str">
        <v>UW Income</v>
      </c>
      <c r="L1" t="str">
        <v>Inv Income</v>
      </c>
      <c r="M1" t="str">
        <v>Pre-Tax Income</v>
      </c>
    </row>
    <row r="2">
      <c r="A2" t="str">
        <v>2025 Q1</v>
      </c>
      <c r="B2">
        <v>2090345</v>
      </c>
      <c r="C2">
        <f>'P&amp;L Auto'!B2*[reinsurance-model.xlsx]'Treaty Structure'!F2</f>
        <v>0</v>
      </c>
      <c r="D2">
        <f>'P&amp;L Auto'!B2-'P&amp;L Auto'!C2</f>
        <v>0</v>
      </c>
      <c r="E2">
        <f>'P&amp;L Auto'!D2*0.95</f>
        <v>0</v>
      </c>
      <c r="F2">
        <f>'P&amp;L Auto'!E2*[reserve-model.xlsx]'Reserve Summary'!C2/[reserve-model.xlsx]'Reserve Summary'!B2</f>
        <v>0</v>
      </c>
      <c r="G2">
        <f>'P&amp;L Auto'!F2*0.08</f>
        <v>0</v>
      </c>
      <c r="H2">
        <f>'P&amp;L Auto'!F2*0.05</f>
        <v>0</v>
      </c>
      <c r="I2">
        <f>'P&amp;L Auto'!F2+'P&amp;L Auto'!G2+'P&amp;L Auto'!H2</f>
        <v>0</v>
      </c>
      <c r="J2">
        <f>'P&amp;L Auto'!E2*0.27</f>
        <v>0</v>
      </c>
      <c r="K2">
        <f>'P&amp;L Auto'!E2-'P&amp;L Auto'!I2-'P&amp;L Auto'!J2</f>
        <v>0</v>
      </c>
      <c r="L2">
        <f>'P&amp;L Auto'!E2*InvYield/4</f>
        <v>0</v>
      </c>
      <c r="M2">
        <f>'P&amp;L Auto'!K2+'P&amp;L Auto'!L2</f>
        <v>0</v>
      </c>
    </row>
    <row r="3">
      <c r="A3" t="str">
        <v>2025 Q2</v>
      </c>
      <c r="B3">
        <v>2146401</v>
      </c>
      <c r="C3">
        <f>'P&amp;L Auto'!B3*[reinsurance-model.xlsx]'Treaty Structure'!F2</f>
        <v>0</v>
      </c>
      <c r="D3">
        <f>'P&amp;L Auto'!B3-'P&amp;L Auto'!C3</f>
        <v>0</v>
      </c>
      <c r="E3">
        <f>'P&amp;L Auto'!D3*0.95</f>
        <v>0</v>
      </c>
      <c r="F3">
        <f>'P&amp;L Auto'!E3*[reserve-model.xlsx]'Reserve Summary'!C2/[reserve-model.xlsx]'Reserve Summary'!B2</f>
        <v>0</v>
      </c>
      <c r="G3">
        <f>'P&amp;L Auto'!F3*0.08</f>
        <v>0</v>
      </c>
      <c r="H3">
        <f>'P&amp;L Auto'!F3*0.05</f>
        <v>0</v>
      </c>
      <c r="I3">
        <f>'P&amp;L Auto'!F3+'P&amp;L Auto'!G3+'P&amp;L Auto'!H3</f>
        <v>0</v>
      </c>
      <c r="J3">
        <f>'P&amp;L Auto'!E3*0.27</f>
        <v>0</v>
      </c>
      <c r="K3">
        <f>'P&amp;L Auto'!E3-'P&amp;L Auto'!I3-'P&amp;L Auto'!J3</f>
        <v>0</v>
      </c>
      <c r="L3">
        <f>'P&amp;L Auto'!E3*InvYield/4</f>
        <v>0</v>
      </c>
      <c r="M3">
        <f>'P&amp;L Auto'!K3+'P&amp;L Auto'!L3</f>
        <v>0</v>
      </c>
    </row>
    <row r="4">
      <c r="A4" t="str">
        <v>2025 Q3</v>
      </c>
      <c r="B4">
        <v>2269128</v>
      </c>
      <c r="C4">
        <f>'P&amp;L Auto'!B4*[reinsurance-model.xlsx]'Treaty Structure'!F2</f>
        <v>0</v>
      </c>
      <c r="D4">
        <f>'P&amp;L Auto'!B4-'P&amp;L Auto'!C4</f>
        <v>0</v>
      </c>
      <c r="E4">
        <f>'P&amp;L Auto'!D4*0.95</f>
        <v>0</v>
      </c>
      <c r="F4">
        <f>'P&amp;L Auto'!E4*[reserve-model.xlsx]'Reserve Summary'!C2/[reserve-model.xlsx]'Reserve Summary'!B2</f>
        <v>0</v>
      </c>
      <c r="G4">
        <f>'P&amp;L Auto'!F4*0.08</f>
        <v>0</v>
      </c>
      <c r="H4">
        <f>'P&amp;L Auto'!F4*0.05</f>
        <v>0</v>
      </c>
      <c r="I4">
        <f>'P&amp;L Auto'!F4+'P&amp;L Auto'!G4+'P&amp;L Auto'!H4</f>
        <v>0</v>
      </c>
      <c r="J4">
        <f>'P&amp;L Auto'!E4*0.27</f>
        <v>0</v>
      </c>
      <c r="K4">
        <f>'P&amp;L Auto'!E4-'P&amp;L Auto'!I4-'P&amp;L Auto'!J4</f>
        <v>0</v>
      </c>
      <c r="L4">
        <f>'P&amp;L Auto'!E4*InvYield/4</f>
        <v>0</v>
      </c>
      <c r="M4">
        <f>'P&amp;L Auto'!K4+'P&amp;L Auto'!L4</f>
        <v>0</v>
      </c>
    </row>
    <row r="5">
      <c r="A5" t="str">
        <v>2025 Q4</v>
      </c>
      <c r="B5">
        <v>2335186</v>
      </c>
      <c r="C5">
        <f>'P&amp;L Auto'!B5*[reinsurance-model.xlsx]'Treaty Structure'!F2</f>
        <v>0</v>
      </c>
      <c r="D5">
        <f>'P&amp;L Auto'!B5-'P&amp;L Auto'!C5</f>
        <v>0</v>
      </c>
      <c r="E5">
        <f>'P&amp;L Auto'!D5*0.95</f>
        <v>0</v>
      </c>
      <c r="F5">
        <f>'P&amp;L Auto'!E5*[reserve-model.xlsx]'Reserve Summary'!C2/[reserve-model.xlsx]'Reserve Summary'!B2</f>
        <v>0</v>
      </c>
      <c r="G5">
        <f>'P&amp;L Auto'!F5*0.08</f>
        <v>0</v>
      </c>
      <c r="H5">
        <f>'P&amp;L Auto'!F5*0.05</f>
        <v>0</v>
      </c>
      <c r="I5">
        <f>'P&amp;L Auto'!F5+'P&amp;L Auto'!G5+'P&amp;L Auto'!H5</f>
        <v>0</v>
      </c>
      <c r="J5">
        <f>'P&amp;L Auto'!E5*0.27</f>
        <v>0</v>
      </c>
      <c r="K5">
        <f>'P&amp;L Auto'!E5-'P&amp;L Auto'!I5-'P&amp;L Auto'!J5</f>
        <v>0</v>
      </c>
      <c r="L5">
        <f>'P&amp;L Auto'!E5*InvYield/4</f>
        <v>0</v>
      </c>
      <c r="M5">
        <f>'P&amp;L Auto'!K5+'P&amp;L Auto'!L5</f>
        <v>0</v>
      </c>
    </row>
    <row r="6">
      <c r="A6" t="str">
        <v>2026 Q1</v>
      </c>
      <c r="B6">
        <v>2260425</v>
      </c>
      <c r="C6">
        <f>'P&amp;L Auto'!B6*[reinsurance-model.xlsx]'Treaty Structure'!F2</f>
        <v>0</v>
      </c>
      <c r="D6">
        <f>'P&amp;L Auto'!B6-'P&amp;L Auto'!C6</f>
        <v>0</v>
      </c>
      <c r="E6">
        <f>'P&amp;L Auto'!D6*0.95</f>
        <v>0</v>
      </c>
      <c r="F6">
        <f>'P&amp;L Auto'!E6*[reserve-model.xlsx]'Reserve Summary'!C2/[reserve-model.xlsx]'Reserve Summary'!B2</f>
        <v>0</v>
      </c>
      <c r="G6">
        <f>'P&amp;L Auto'!F6*0.08</f>
        <v>0</v>
      </c>
      <c r="H6">
        <f>'P&amp;L Auto'!F6*0.05</f>
        <v>0</v>
      </c>
      <c r="I6">
        <f>'P&amp;L Auto'!F6+'P&amp;L Auto'!G6+'P&amp;L Auto'!H6</f>
        <v>0</v>
      </c>
      <c r="J6">
        <f>'P&amp;L Auto'!E6*0.27</f>
        <v>0</v>
      </c>
      <c r="K6">
        <f>'P&amp;L Auto'!E6-'P&amp;L Auto'!I6-'P&amp;L Auto'!J6</f>
        <v>0</v>
      </c>
      <c r="L6">
        <f>'P&amp;L Auto'!E6*InvYield/4</f>
        <v>0</v>
      </c>
      <c r="M6">
        <f>'P&amp;L Auto'!K6+'P&amp;L Auto'!L6</f>
        <v>0</v>
      </c>
    </row>
    <row r="7">
      <c r="A7" t="str">
        <v>2026 Q2</v>
      </c>
      <c r="B7">
        <v>2297672</v>
      </c>
      <c r="C7">
        <f>'P&amp;L Auto'!B7*[reinsurance-model.xlsx]'Treaty Structure'!F2</f>
        <v>0</v>
      </c>
      <c r="D7">
        <f>'P&amp;L Auto'!B7-'P&amp;L Auto'!C7</f>
        <v>0</v>
      </c>
      <c r="E7">
        <f>'P&amp;L Auto'!D7*0.95</f>
        <v>0</v>
      </c>
      <c r="F7">
        <f>'P&amp;L Auto'!E7*[reserve-model.xlsx]'Reserve Summary'!C2/[reserve-model.xlsx]'Reserve Summary'!B2</f>
        <v>0</v>
      </c>
      <c r="G7">
        <f>'P&amp;L Auto'!F7*0.08</f>
        <v>0</v>
      </c>
      <c r="H7">
        <f>'P&amp;L Auto'!F7*0.05</f>
        <v>0</v>
      </c>
      <c r="I7">
        <f>'P&amp;L Auto'!F7+'P&amp;L Auto'!G7+'P&amp;L Auto'!H7</f>
        <v>0</v>
      </c>
      <c r="J7">
        <f>'P&amp;L Auto'!E7*0.27</f>
        <v>0</v>
      </c>
      <c r="K7">
        <f>'P&amp;L Auto'!E7-'P&amp;L Auto'!I7-'P&amp;L Auto'!J7</f>
        <v>0</v>
      </c>
      <c r="L7">
        <f>'P&amp;L Auto'!E7*InvYield/4</f>
        <v>0</v>
      </c>
      <c r="M7">
        <f>'P&amp;L Auto'!K7+'P&amp;L Auto'!L7</f>
        <v>0</v>
      </c>
    </row>
    <row r="8">
      <c r="A8" t="str">
        <v>2026 Q3</v>
      </c>
      <c r="B8">
        <v>2348600</v>
      </c>
      <c r="C8">
        <f>'P&amp;L Auto'!B8*[reinsurance-model.xlsx]'Treaty Structure'!F2</f>
        <v>0</v>
      </c>
      <c r="D8">
        <f>'P&amp;L Auto'!B8-'P&amp;L Auto'!C8</f>
        <v>0</v>
      </c>
      <c r="E8">
        <f>'P&amp;L Auto'!D8*0.95</f>
        <v>0</v>
      </c>
      <c r="F8">
        <f>'P&amp;L Auto'!E8*[reserve-model.xlsx]'Reserve Summary'!C2/[reserve-model.xlsx]'Reserve Summary'!B2</f>
        <v>0</v>
      </c>
      <c r="G8">
        <f>'P&amp;L Auto'!F8*0.08</f>
        <v>0</v>
      </c>
      <c r="H8">
        <f>'P&amp;L Auto'!F8*0.05</f>
        <v>0</v>
      </c>
      <c r="I8">
        <f>'P&amp;L Auto'!F8+'P&amp;L Auto'!G8+'P&amp;L Auto'!H8</f>
        <v>0</v>
      </c>
      <c r="J8">
        <f>'P&amp;L Auto'!E8*0.27</f>
        <v>0</v>
      </c>
      <c r="K8">
        <f>'P&amp;L Auto'!E8-'P&amp;L Auto'!I8-'P&amp;L Auto'!J8</f>
        <v>0</v>
      </c>
      <c r="L8">
        <f>'P&amp;L Auto'!E8*InvYield/4</f>
        <v>0</v>
      </c>
      <c r="M8">
        <f>'P&amp;L Auto'!K8+'P&amp;L Auto'!L8</f>
        <v>0</v>
      </c>
    </row>
    <row r="9">
      <c r="A9" t="str">
        <v>2026 Q4</v>
      </c>
      <c r="B9">
        <v>2403582</v>
      </c>
      <c r="C9">
        <f>'P&amp;L Auto'!B9*[reinsurance-model.xlsx]'Treaty Structure'!F2</f>
        <v>0</v>
      </c>
      <c r="D9">
        <f>'P&amp;L Auto'!B9-'P&amp;L Auto'!C9</f>
        <v>0</v>
      </c>
      <c r="E9">
        <f>'P&amp;L Auto'!D9*0.95</f>
        <v>0</v>
      </c>
      <c r="F9">
        <f>'P&amp;L Auto'!E9*[reserve-model.xlsx]'Reserve Summary'!C2/[reserve-model.xlsx]'Reserve Summary'!B2</f>
        <v>0</v>
      </c>
      <c r="G9">
        <f>'P&amp;L Auto'!F9*0.08</f>
        <v>0</v>
      </c>
      <c r="H9">
        <f>'P&amp;L Auto'!F9*0.05</f>
        <v>0</v>
      </c>
      <c r="I9">
        <f>'P&amp;L Auto'!F9+'P&amp;L Auto'!G9+'P&amp;L Auto'!H9</f>
        <v>0</v>
      </c>
      <c r="J9">
        <f>'P&amp;L Auto'!E9*0.27</f>
        <v>0</v>
      </c>
      <c r="K9">
        <f>'P&amp;L Auto'!E9-'P&amp;L Auto'!I9-'P&amp;L Auto'!J9</f>
        <v>0</v>
      </c>
      <c r="L9">
        <f>'P&amp;L Auto'!E9*InvYield/4</f>
        <v>0</v>
      </c>
      <c r="M9">
        <f>'P&amp;L Auto'!K9+'P&amp;L Auto'!L9</f>
        <v>0</v>
      </c>
    </row>
    <row r="10">
      <c r="A10" t="str">
        <v>Annual Total</v>
      </c>
      <c r="B10">
        <f>SUM(B2:B9)</f>
        <v>0</v>
      </c>
      <c r="C10">
        <f>SUM(C2:C9)</f>
        <v>0</v>
      </c>
      <c r="D10">
        <f>SUM(D2:D9)</f>
        <v>0</v>
      </c>
      <c r="E10">
        <f>SUM(E2:E9)</f>
        <v>0</v>
      </c>
      <c r="F10">
        <f>SUM(F2:F9)</f>
        <v>0</v>
      </c>
      <c r="G10">
        <f>SUM(G2:G9)</f>
        <v>0</v>
      </c>
      <c r="H10">
        <f>SUM(H2:H9)</f>
        <v>0</v>
      </c>
      <c r="I10">
        <f>SUM(I2:I9)</f>
        <v>0</v>
      </c>
      <c r="J10">
        <f>SUM(J2:J9)</f>
        <v>0</v>
      </c>
      <c r="K10">
        <f>SUM(K2:K9)</f>
        <v>0</v>
      </c>
      <c r="L10">
        <f>SUM(L2:L9)</f>
        <v>0</v>
      </c>
      <c r="M10">
        <f>SUM(M2:M9)</f>
        <v>0</v>
      </c>
    </row>
  </sheetData>
  <ignoredErrors>
    <ignoredError numberStoredAsText="1" sqref="A1:M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Quarter</v>
      </c>
      <c r="B1" t="str">
        <v>Gross WP</v>
      </c>
      <c r="C1" t="str">
        <v>Ceded WP</v>
      </c>
      <c r="D1" t="str">
        <v>Net WP</v>
      </c>
      <c r="E1" t="str">
        <v>Net EP</v>
      </c>
      <c r="F1" t="str">
        <v>Incurred Loss</v>
      </c>
      <c r="G1" t="str">
        <v>ALAE</v>
      </c>
      <c r="H1" t="str">
        <v>ULAE</v>
      </c>
      <c r="I1" t="str">
        <v>Net Loss</v>
      </c>
      <c r="J1" t="str">
        <v>UW Expense</v>
      </c>
      <c r="K1" t="str">
        <v>UW Income</v>
      </c>
      <c r="L1" t="str">
        <v>Inv Income</v>
      </c>
      <c r="M1" t="str">
        <v>Pre-Tax Income</v>
      </c>
    </row>
    <row r="2">
      <c r="A2" t="str">
        <v>2025 Q1</v>
      </c>
      <c r="B2">
        <v>2381219</v>
      </c>
      <c r="C2">
        <f>'P&amp;L GL'!B2*[reinsurance-model.xlsx]'Treaty Structure'!F2</f>
        <v>0</v>
      </c>
      <c r="D2">
        <f>'P&amp;L GL'!B2-'P&amp;L GL'!C2</f>
        <v>0</v>
      </c>
      <c r="E2">
        <f>'P&amp;L GL'!D2*0.95</f>
        <v>0</v>
      </c>
      <c r="F2">
        <f>'P&amp;L GL'!E2*[reserve-model.xlsx]'Reserve Summary'!C3/[reserve-model.xlsx]'Reserve Summary'!B3</f>
        <v>0</v>
      </c>
      <c r="G2">
        <f>'P&amp;L GL'!F2*0.08</f>
        <v>0</v>
      </c>
      <c r="H2">
        <f>'P&amp;L GL'!F2*0.05</f>
        <v>0</v>
      </c>
      <c r="I2">
        <f>'P&amp;L GL'!F2+'P&amp;L GL'!G2+'P&amp;L GL'!H2</f>
        <v>0</v>
      </c>
      <c r="J2">
        <f>'P&amp;L GL'!E2*0.27</f>
        <v>0</v>
      </c>
      <c r="K2">
        <f>'P&amp;L GL'!E2-'P&amp;L GL'!I2-'P&amp;L GL'!J2</f>
        <v>0</v>
      </c>
      <c r="L2">
        <f>'P&amp;L GL'!E2*InvYield/4</f>
        <v>0</v>
      </c>
      <c r="M2">
        <f>'P&amp;L GL'!K2+'P&amp;L GL'!L2</f>
        <v>0</v>
      </c>
    </row>
    <row r="3">
      <c r="A3" t="str">
        <v>2025 Q2</v>
      </c>
      <c r="B3">
        <v>2452650</v>
      </c>
      <c r="C3">
        <f>'P&amp;L GL'!B3*[reinsurance-model.xlsx]'Treaty Structure'!F2</f>
        <v>0</v>
      </c>
      <c r="D3">
        <f>'P&amp;L GL'!B3-'P&amp;L GL'!C3</f>
        <v>0</v>
      </c>
      <c r="E3">
        <f>'P&amp;L GL'!D3*0.95</f>
        <v>0</v>
      </c>
      <c r="F3">
        <f>'P&amp;L GL'!E3*[reserve-model.xlsx]'Reserve Summary'!C3/[reserve-model.xlsx]'Reserve Summary'!B3</f>
        <v>0</v>
      </c>
      <c r="G3">
        <f>'P&amp;L GL'!F3*0.08</f>
        <v>0</v>
      </c>
      <c r="H3">
        <f>'P&amp;L GL'!F3*0.05</f>
        <v>0</v>
      </c>
      <c r="I3">
        <f>'P&amp;L GL'!F3+'P&amp;L GL'!G3+'P&amp;L GL'!H3</f>
        <v>0</v>
      </c>
      <c r="J3">
        <f>'P&amp;L GL'!E3*0.27</f>
        <v>0</v>
      </c>
      <c r="K3">
        <f>'P&amp;L GL'!E3-'P&amp;L GL'!I3-'P&amp;L GL'!J3</f>
        <v>0</v>
      </c>
      <c r="L3">
        <f>'P&amp;L GL'!E3*InvYield/4</f>
        <v>0</v>
      </c>
      <c r="M3">
        <f>'P&amp;L GL'!K3+'P&amp;L GL'!L3</f>
        <v>0</v>
      </c>
    </row>
    <row r="4">
      <c r="A4" t="str">
        <v>2025 Q3</v>
      </c>
      <c r="B4">
        <v>2588809</v>
      </c>
      <c r="C4">
        <f>'P&amp;L GL'!B4*[reinsurance-model.xlsx]'Treaty Structure'!F2</f>
        <v>0</v>
      </c>
      <c r="D4">
        <f>'P&amp;L GL'!B4-'P&amp;L GL'!C4</f>
        <v>0</v>
      </c>
      <c r="E4">
        <f>'P&amp;L GL'!D4*0.95</f>
        <v>0</v>
      </c>
      <c r="F4">
        <f>'P&amp;L GL'!E4*[reserve-model.xlsx]'Reserve Summary'!C3/[reserve-model.xlsx]'Reserve Summary'!B3</f>
        <v>0</v>
      </c>
      <c r="G4">
        <f>'P&amp;L GL'!F4*0.08</f>
        <v>0</v>
      </c>
      <c r="H4">
        <f>'P&amp;L GL'!F4*0.05</f>
        <v>0</v>
      </c>
      <c r="I4">
        <f>'P&amp;L GL'!F4+'P&amp;L GL'!G4+'P&amp;L GL'!H4</f>
        <v>0</v>
      </c>
      <c r="J4">
        <f>'P&amp;L GL'!E4*0.27</f>
        <v>0</v>
      </c>
      <c r="K4">
        <f>'P&amp;L GL'!E4-'P&amp;L GL'!I4-'P&amp;L GL'!J4</f>
        <v>0</v>
      </c>
      <c r="L4">
        <f>'P&amp;L GL'!E4*InvYield/4</f>
        <v>0</v>
      </c>
      <c r="M4">
        <f>'P&amp;L GL'!K4+'P&amp;L GL'!L4</f>
        <v>0</v>
      </c>
    </row>
    <row r="5">
      <c r="A5" t="str">
        <v>2025 Q4</v>
      </c>
      <c r="B5">
        <v>2564657</v>
      </c>
      <c r="C5">
        <f>'P&amp;L GL'!B5*[reinsurance-model.xlsx]'Treaty Structure'!F2</f>
        <v>0</v>
      </c>
      <c r="D5">
        <f>'P&amp;L GL'!B5-'P&amp;L GL'!C5</f>
        <v>0</v>
      </c>
      <c r="E5">
        <f>'P&amp;L GL'!D5*0.95</f>
        <v>0</v>
      </c>
      <c r="F5">
        <f>'P&amp;L GL'!E5*[reserve-model.xlsx]'Reserve Summary'!C3/[reserve-model.xlsx]'Reserve Summary'!B3</f>
        <v>0</v>
      </c>
      <c r="G5">
        <f>'P&amp;L GL'!F5*0.08</f>
        <v>0</v>
      </c>
      <c r="H5">
        <f>'P&amp;L GL'!F5*0.05</f>
        <v>0</v>
      </c>
      <c r="I5">
        <f>'P&amp;L GL'!F5+'P&amp;L GL'!G5+'P&amp;L GL'!H5</f>
        <v>0</v>
      </c>
      <c r="J5">
        <f>'P&amp;L GL'!E5*0.27</f>
        <v>0</v>
      </c>
      <c r="K5">
        <f>'P&amp;L GL'!E5-'P&amp;L GL'!I5-'P&amp;L GL'!J5</f>
        <v>0</v>
      </c>
      <c r="L5">
        <f>'P&amp;L GL'!E5*InvYield/4</f>
        <v>0</v>
      </c>
      <c r="M5">
        <f>'P&amp;L GL'!K5+'P&amp;L GL'!L5</f>
        <v>0</v>
      </c>
    </row>
    <row r="6">
      <c r="A6" t="str">
        <v>2026 Q1</v>
      </c>
      <c r="B6">
        <v>2674995</v>
      </c>
      <c r="C6">
        <f>'P&amp;L GL'!B6*[reinsurance-model.xlsx]'Treaty Structure'!F2</f>
        <v>0</v>
      </c>
      <c r="D6">
        <f>'P&amp;L GL'!B6-'P&amp;L GL'!C6</f>
        <v>0</v>
      </c>
      <c r="E6">
        <f>'P&amp;L GL'!D6*0.95</f>
        <v>0</v>
      </c>
      <c r="F6">
        <f>'P&amp;L GL'!E6*[reserve-model.xlsx]'Reserve Summary'!C3/[reserve-model.xlsx]'Reserve Summary'!B3</f>
        <v>0</v>
      </c>
      <c r="G6">
        <f>'P&amp;L GL'!F6*0.08</f>
        <v>0</v>
      </c>
      <c r="H6">
        <f>'P&amp;L GL'!F6*0.05</f>
        <v>0</v>
      </c>
      <c r="I6">
        <f>'P&amp;L GL'!F6+'P&amp;L GL'!G6+'P&amp;L GL'!H6</f>
        <v>0</v>
      </c>
      <c r="J6">
        <f>'P&amp;L GL'!E6*0.27</f>
        <v>0</v>
      </c>
      <c r="K6">
        <f>'P&amp;L GL'!E6-'P&amp;L GL'!I6-'P&amp;L GL'!J6</f>
        <v>0</v>
      </c>
      <c r="L6">
        <f>'P&amp;L GL'!E6*InvYield/4</f>
        <v>0</v>
      </c>
      <c r="M6">
        <f>'P&amp;L GL'!K6+'P&amp;L GL'!L6</f>
        <v>0</v>
      </c>
    </row>
    <row r="7">
      <c r="A7" t="str">
        <v>2026 Q2</v>
      </c>
      <c r="B7">
        <v>2685164</v>
      </c>
      <c r="C7">
        <f>'P&amp;L GL'!B7*[reinsurance-model.xlsx]'Treaty Structure'!F2</f>
        <v>0</v>
      </c>
      <c r="D7">
        <f>'P&amp;L GL'!B7-'P&amp;L GL'!C7</f>
        <v>0</v>
      </c>
      <c r="E7">
        <f>'P&amp;L GL'!D7*0.95</f>
        <v>0</v>
      </c>
      <c r="F7">
        <f>'P&amp;L GL'!E7*[reserve-model.xlsx]'Reserve Summary'!C3/[reserve-model.xlsx]'Reserve Summary'!B3</f>
        <v>0</v>
      </c>
      <c r="G7">
        <f>'P&amp;L GL'!F7*0.08</f>
        <v>0</v>
      </c>
      <c r="H7">
        <f>'P&amp;L GL'!F7*0.05</f>
        <v>0</v>
      </c>
      <c r="I7">
        <f>'P&amp;L GL'!F7+'P&amp;L GL'!G7+'P&amp;L GL'!H7</f>
        <v>0</v>
      </c>
      <c r="J7">
        <f>'P&amp;L GL'!E7*0.27</f>
        <v>0</v>
      </c>
      <c r="K7">
        <f>'P&amp;L GL'!E7-'P&amp;L GL'!I7-'P&amp;L GL'!J7</f>
        <v>0</v>
      </c>
      <c r="L7">
        <f>'P&amp;L GL'!E7*InvYield/4</f>
        <v>0</v>
      </c>
      <c r="M7">
        <f>'P&amp;L GL'!K7+'P&amp;L GL'!L7</f>
        <v>0</v>
      </c>
    </row>
    <row r="8">
      <c r="A8" t="str">
        <v>2026 Q3</v>
      </c>
      <c r="B8">
        <v>2643361</v>
      </c>
      <c r="C8">
        <f>'P&amp;L GL'!B8*[reinsurance-model.xlsx]'Treaty Structure'!F2</f>
        <v>0</v>
      </c>
      <c r="D8">
        <f>'P&amp;L GL'!B8-'P&amp;L GL'!C8</f>
        <v>0</v>
      </c>
      <c r="E8">
        <f>'P&amp;L GL'!D8*0.95</f>
        <v>0</v>
      </c>
      <c r="F8">
        <f>'P&amp;L GL'!E8*[reserve-model.xlsx]'Reserve Summary'!C3/[reserve-model.xlsx]'Reserve Summary'!B3</f>
        <v>0</v>
      </c>
      <c r="G8">
        <f>'P&amp;L GL'!F8*0.08</f>
        <v>0</v>
      </c>
      <c r="H8">
        <f>'P&amp;L GL'!F8*0.05</f>
        <v>0</v>
      </c>
      <c r="I8">
        <f>'P&amp;L GL'!F8+'P&amp;L GL'!G8+'P&amp;L GL'!H8</f>
        <v>0</v>
      </c>
      <c r="J8">
        <f>'P&amp;L GL'!E8*0.27</f>
        <v>0</v>
      </c>
      <c r="K8">
        <f>'P&amp;L GL'!E8-'P&amp;L GL'!I8-'P&amp;L GL'!J8</f>
        <v>0</v>
      </c>
      <c r="L8">
        <f>'P&amp;L GL'!E8*InvYield/4</f>
        <v>0</v>
      </c>
      <c r="M8">
        <f>'P&amp;L GL'!K8+'P&amp;L GL'!L8</f>
        <v>0</v>
      </c>
    </row>
    <row r="9">
      <c r="A9" t="str">
        <v>2026 Q4</v>
      </c>
      <c r="B9">
        <v>2814044</v>
      </c>
      <c r="C9">
        <f>'P&amp;L GL'!B9*[reinsurance-model.xlsx]'Treaty Structure'!F2</f>
        <v>0</v>
      </c>
      <c r="D9">
        <f>'P&amp;L GL'!B9-'P&amp;L GL'!C9</f>
        <v>0</v>
      </c>
      <c r="E9">
        <f>'P&amp;L GL'!D9*0.95</f>
        <v>0</v>
      </c>
      <c r="F9">
        <f>'P&amp;L GL'!E9*[reserve-model.xlsx]'Reserve Summary'!C3/[reserve-model.xlsx]'Reserve Summary'!B3</f>
        <v>0</v>
      </c>
      <c r="G9">
        <f>'P&amp;L GL'!F9*0.08</f>
        <v>0</v>
      </c>
      <c r="H9">
        <f>'P&amp;L GL'!F9*0.05</f>
        <v>0</v>
      </c>
      <c r="I9">
        <f>'P&amp;L GL'!F9+'P&amp;L GL'!G9+'P&amp;L GL'!H9</f>
        <v>0</v>
      </c>
      <c r="J9">
        <f>'P&amp;L GL'!E9*0.27</f>
        <v>0</v>
      </c>
      <c r="K9">
        <f>'P&amp;L GL'!E9-'P&amp;L GL'!I9-'P&amp;L GL'!J9</f>
        <v>0</v>
      </c>
      <c r="L9">
        <f>'P&amp;L GL'!E9*InvYield/4</f>
        <v>0</v>
      </c>
      <c r="M9">
        <f>'P&amp;L GL'!K9+'P&amp;L GL'!L9</f>
        <v>0</v>
      </c>
    </row>
    <row r="10">
      <c r="A10" t="str">
        <v>Annual Total</v>
      </c>
      <c r="B10">
        <f>SUM(B2:B9)</f>
        <v>0</v>
      </c>
      <c r="C10">
        <f>SUM(C2:C9)</f>
        <v>0</v>
      </c>
      <c r="D10">
        <f>SUM(D2:D9)</f>
        <v>0</v>
      </c>
      <c r="E10">
        <f>SUM(E2:E9)</f>
        <v>0</v>
      </c>
      <c r="F10">
        <f>SUM(F2:F9)</f>
        <v>0</v>
      </c>
      <c r="G10">
        <f>SUM(G2:G9)</f>
        <v>0</v>
      </c>
      <c r="H10">
        <f>SUM(H2:H9)</f>
        <v>0</v>
      </c>
      <c r="I10">
        <f>SUM(I2:I9)</f>
        <v>0</v>
      </c>
      <c r="J10">
        <f>SUM(J2:J9)</f>
        <v>0</v>
      </c>
      <c r="K10">
        <f>SUM(K2:K9)</f>
        <v>0</v>
      </c>
      <c r="L10">
        <f>SUM(L2:L9)</f>
        <v>0</v>
      </c>
      <c r="M10">
        <f>SUM(M2:M9)</f>
        <v>0</v>
      </c>
    </row>
  </sheetData>
  <ignoredErrors>
    <ignoredError numberStoredAsText="1" sqref="A1:M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Quarter</v>
      </c>
      <c r="B1" t="str">
        <v>Gross WP</v>
      </c>
      <c r="C1" t="str">
        <v>Ceded WP</v>
      </c>
      <c r="D1" t="str">
        <v>Net WP</v>
      </c>
      <c r="E1" t="str">
        <v>Net EP</v>
      </c>
      <c r="F1" t="str">
        <v>Incurred Loss</v>
      </c>
      <c r="G1" t="str">
        <v>ALAE</v>
      </c>
      <c r="H1" t="str">
        <v>ULAE</v>
      </c>
      <c r="I1" t="str">
        <v>Net Loss</v>
      </c>
      <c r="J1" t="str">
        <v>UW Expense</v>
      </c>
      <c r="K1" t="str">
        <v>UW Income</v>
      </c>
      <c r="L1" t="str">
        <v>Inv Income</v>
      </c>
      <c r="M1" t="str">
        <v>Pre-Tax Income</v>
      </c>
    </row>
    <row r="2">
      <c r="A2" t="str">
        <v>2025 Q1</v>
      </c>
      <c r="B2">
        <v>2744772</v>
      </c>
      <c r="C2">
        <f>'P&amp;L WC'!B2*[reinsurance-model.xlsx]'Treaty Structure'!F2</f>
        <v>0</v>
      </c>
      <c r="D2">
        <f>'P&amp;L WC'!B2-'P&amp;L WC'!C2</f>
        <v>0</v>
      </c>
      <c r="E2">
        <f>'P&amp;L WC'!D2*0.95</f>
        <v>0</v>
      </c>
      <c r="F2">
        <f>'P&amp;L WC'!E2*[reserve-model.xlsx]'Reserve Summary'!C4/[reserve-model.xlsx]'Reserve Summary'!B4</f>
        <v>0</v>
      </c>
      <c r="G2">
        <f>'P&amp;L WC'!F2*0.08</f>
        <v>0</v>
      </c>
      <c r="H2">
        <f>'P&amp;L WC'!F2*0.05</f>
        <v>0</v>
      </c>
      <c r="I2">
        <f>'P&amp;L WC'!F2+'P&amp;L WC'!G2+'P&amp;L WC'!H2</f>
        <v>0</v>
      </c>
      <c r="J2">
        <f>'P&amp;L WC'!E2*0.27</f>
        <v>0</v>
      </c>
      <c r="K2">
        <f>'P&amp;L WC'!E2-'P&amp;L WC'!I2-'P&amp;L WC'!J2</f>
        <v>0</v>
      </c>
      <c r="L2">
        <f>'P&amp;L WC'!E2*InvYield/4</f>
        <v>0</v>
      </c>
      <c r="M2">
        <f>'P&amp;L WC'!K2+'P&amp;L WC'!L2</f>
        <v>0</v>
      </c>
    </row>
    <row r="3">
      <c r="A3" t="str">
        <v>2025 Q2</v>
      </c>
      <c r="B3">
        <v>2682038</v>
      </c>
      <c r="C3">
        <f>'P&amp;L WC'!B3*[reinsurance-model.xlsx]'Treaty Structure'!F2</f>
        <v>0</v>
      </c>
      <c r="D3">
        <f>'P&amp;L WC'!B3-'P&amp;L WC'!C3</f>
        <v>0</v>
      </c>
      <c r="E3">
        <f>'P&amp;L WC'!D3*0.95</f>
        <v>0</v>
      </c>
      <c r="F3">
        <f>'P&amp;L WC'!E3*[reserve-model.xlsx]'Reserve Summary'!C4/[reserve-model.xlsx]'Reserve Summary'!B4</f>
        <v>0</v>
      </c>
      <c r="G3">
        <f>'P&amp;L WC'!F3*0.08</f>
        <v>0</v>
      </c>
      <c r="H3">
        <f>'P&amp;L WC'!F3*0.05</f>
        <v>0</v>
      </c>
      <c r="I3">
        <f>'P&amp;L WC'!F3+'P&amp;L WC'!G3+'P&amp;L WC'!H3</f>
        <v>0</v>
      </c>
      <c r="J3">
        <f>'P&amp;L WC'!E3*0.27</f>
        <v>0</v>
      </c>
      <c r="K3">
        <f>'P&amp;L WC'!E3-'P&amp;L WC'!I3-'P&amp;L WC'!J3</f>
        <v>0</v>
      </c>
      <c r="L3">
        <f>'P&amp;L WC'!E3*InvYield/4</f>
        <v>0</v>
      </c>
      <c r="M3">
        <f>'P&amp;L WC'!K3+'P&amp;L WC'!L3</f>
        <v>0</v>
      </c>
    </row>
    <row r="4">
      <c r="A4" t="str">
        <v>2025 Q3</v>
      </c>
      <c r="B4">
        <v>2766036</v>
      </c>
      <c r="C4">
        <f>'P&amp;L WC'!B4*[reinsurance-model.xlsx]'Treaty Structure'!F2</f>
        <v>0</v>
      </c>
      <c r="D4">
        <f>'P&amp;L WC'!B4-'P&amp;L WC'!C4</f>
        <v>0</v>
      </c>
      <c r="E4">
        <f>'P&amp;L WC'!D4*0.95</f>
        <v>0</v>
      </c>
      <c r="F4">
        <f>'P&amp;L WC'!E4*[reserve-model.xlsx]'Reserve Summary'!C4/[reserve-model.xlsx]'Reserve Summary'!B4</f>
        <v>0</v>
      </c>
      <c r="G4">
        <f>'P&amp;L WC'!F4*0.08</f>
        <v>0</v>
      </c>
      <c r="H4">
        <f>'P&amp;L WC'!F4*0.05</f>
        <v>0</v>
      </c>
      <c r="I4">
        <f>'P&amp;L WC'!F4+'P&amp;L WC'!G4+'P&amp;L WC'!H4</f>
        <v>0</v>
      </c>
      <c r="J4">
        <f>'P&amp;L WC'!E4*0.27</f>
        <v>0</v>
      </c>
      <c r="K4">
        <f>'P&amp;L WC'!E4-'P&amp;L WC'!I4-'P&amp;L WC'!J4</f>
        <v>0</v>
      </c>
      <c r="L4">
        <f>'P&amp;L WC'!E4*InvYield/4</f>
        <v>0</v>
      </c>
      <c r="M4">
        <f>'P&amp;L WC'!K4+'P&amp;L WC'!L4</f>
        <v>0</v>
      </c>
    </row>
    <row r="5">
      <c r="A5" t="str">
        <v>2025 Q4</v>
      </c>
      <c r="B5">
        <v>2919961</v>
      </c>
      <c r="C5">
        <f>'P&amp;L WC'!B5*[reinsurance-model.xlsx]'Treaty Structure'!F2</f>
        <v>0</v>
      </c>
      <c r="D5">
        <f>'P&amp;L WC'!B5-'P&amp;L WC'!C5</f>
        <v>0</v>
      </c>
      <c r="E5">
        <f>'P&amp;L WC'!D5*0.95</f>
        <v>0</v>
      </c>
      <c r="F5">
        <f>'P&amp;L WC'!E5*[reserve-model.xlsx]'Reserve Summary'!C4/[reserve-model.xlsx]'Reserve Summary'!B4</f>
        <v>0</v>
      </c>
      <c r="G5">
        <f>'P&amp;L WC'!F5*0.08</f>
        <v>0</v>
      </c>
      <c r="H5">
        <f>'P&amp;L WC'!F5*0.05</f>
        <v>0</v>
      </c>
      <c r="I5">
        <f>'P&amp;L WC'!F5+'P&amp;L WC'!G5+'P&amp;L WC'!H5</f>
        <v>0</v>
      </c>
      <c r="J5">
        <f>'P&amp;L WC'!E5*0.27</f>
        <v>0</v>
      </c>
      <c r="K5">
        <f>'P&amp;L WC'!E5-'P&amp;L WC'!I5-'P&amp;L WC'!J5</f>
        <v>0</v>
      </c>
      <c r="L5">
        <f>'P&amp;L WC'!E5*InvYield/4</f>
        <v>0</v>
      </c>
      <c r="M5">
        <f>'P&amp;L WC'!K5+'P&amp;L WC'!L5</f>
        <v>0</v>
      </c>
    </row>
    <row r="6">
      <c r="A6" t="str">
        <v>2026 Q1</v>
      </c>
      <c r="B6">
        <v>2894253</v>
      </c>
      <c r="C6">
        <f>'P&amp;L WC'!B6*[reinsurance-model.xlsx]'Treaty Structure'!F2</f>
        <v>0</v>
      </c>
      <c r="D6">
        <f>'P&amp;L WC'!B6-'P&amp;L WC'!C6</f>
        <v>0</v>
      </c>
      <c r="E6">
        <f>'P&amp;L WC'!D6*0.95</f>
        <v>0</v>
      </c>
      <c r="F6">
        <f>'P&amp;L WC'!E6*[reserve-model.xlsx]'Reserve Summary'!C4/[reserve-model.xlsx]'Reserve Summary'!B4</f>
        <v>0</v>
      </c>
      <c r="G6">
        <f>'P&amp;L WC'!F6*0.08</f>
        <v>0</v>
      </c>
      <c r="H6">
        <f>'P&amp;L WC'!F6*0.05</f>
        <v>0</v>
      </c>
      <c r="I6">
        <f>'P&amp;L WC'!F6+'P&amp;L WC'!G6+'P&amp;L WC'!H6</f>
        <v>0</v>
      </c>
      <c r="J6">
        <f>'P&amp;L WC'!E6*0.27</f>
        <v>0</v>
      </c>
      <c r="K6">
        <f>'P&amp;L WC'!E6-'P&amp;L WC'!I6-'P&amp;L WC'!J6</f>
        <v>0</v>
      </c>
      <c r="L6">
        <f>'P&amp;L WC'!E6*InvYield/4</f>
        <v>0</v>
      </c>
      <c r="M6">
        <f>'P&amp;L WC'!K6+'P&amp;L WC'!L6</f>
        <v>0</v>
      </c>
    </row>
    <row r="7">
      <c r="A7" t="str">
        <v>2026 Q2</v>
      </c>
      <c r="B7">
        <v>2929515</v>
      </c>
      <c r="C7">
        <f>'P&amp;L WC'!B7*[reinsurance-model.xlsx]'Treaty Structure'!F2</f>
        <v>0</v>
      </c>
      <c r="D7">
        <f>'P&amp;L WC'!B7-'P&amp;L WC'!C7</f>
        <v>0</v>
      </c>
      <c r="E7">
        <f>'P&amp;L WC'!D7*0.95</f>
        <v>0</v>
      </c>
      <c r="F7">
        <f>'P&amp;L WC'!E7*[reserve-model.xlsx]'Reserve Summary'!C4/[reserve-model.xlsx]'Reserve Summary'!B4</f>
        <v>0</v>
      </c>
      <c r="G7">
        <f>'P&amp;L WC'!F7*0.08</f>
        <v>0</v>
      </c>
      <c r="H7">
        <f>'P&amp;L WC'!F7*0.05</f>
        <v>0</v>
      </c>
      <c r="I7">
        <f>'P&amp;L WC'!F7+'P&amp;L WC'!G7+'P&amp;L WC'!H7</f>
        <v>0</v>
      </c>
      <c r="J7">
        <f>'P&amp;L WC'!E7*0.27</f>
        <v>0</v>
      </c>
      <c r="K7">
        <f>'P&amp;L WC'!E7-'P&amp;L WC'!I7-'P&amp;L WC'!J7</f>
        <v>0</v>
      </c>
      <c r="L7">
        <f>'P&amp;L WC'!E7*InvYield/4</f>
        <v>0</v>
      </c>
      <c r="M7">
        <f>'P&amp;L WC'!K7+'P&amp;L WC'!L7</f>
        <v>0</v>
      </c>
    </row>
    <row r="8">
      <c r="A8" t="str">
        <v>2026 Q3</v>
      </c>
      <c r="B8">
        <v>3067447</v>
      </c>
      <c r="C8">
        <f>'P&amp;L WC'!B8*[reinsurance-model.xlsx]'Treaty Structure'!F2</f>
        <v>0</v>
      </c>
      <c r="D8">
        <f>'P&amp;L WC'!B8-'P&amp;L WC'!C8</f>
        <v>0</v>
      </c>
      <c r="E8">
        <f>'P&amp;L WC'!D8*0.95</f>
        <v>0</v>
      </c>
      <c r="F8">
        <f>'P&amp;L WC'!E8*[reserve-model.xlsx]'Reserve Summary'!C4/[reserve-model.xlsx]'Reserve Summary'!B4</f>
        <v>0</v>
      </c>
      <c r="G8">
        <f>'P&amp;L WC'!F8*0.08</f>
        <v>0</v>
      </c>
      <c r="H8">
        <f>'P&amp;L WC'!F8*0.05</f>
        <v>0</v>
      </c>
      <c r="I8">
        <f>'P&amp;L WC'!F8+'P&amp;L WC'!G8+'P&amp;L WC'!H8</f>
        <v>0</v>
      </c>
      <c r="J8">
        <f>'P&amp;L WC'!E8*0.27</f>
        <v>0</v>
      </c>
      <c r="K8">
        <f>'P&amp;L WC'!E8-'P&amp;L WC'!I8-'P&amp;L WC'!J8</f>
        <v>0</v>
      </c>
      <c r="L8">
        <f>'P&amp;L WC'!E8*InvYield/4</f>
        <v>0</v>
      </c>
      <c r="M8">
        <f>'P&amp;L WC'!K8+'P&amp;L WC'!L8</f>
        <v>0</v>
      </c>
    </row>
    <row r="9">
      <c r="A9" t="str">
        <v>2026 Q4</v>
      </c>
      <c r="B9">
        <v>3111097</v>
      </c>
      <c r="C9">
        <f>'P&amp;L WC'!B9*[reinsurance-model.xlsx]'Treaty Structure'!F2</f>
        <v>0</v>
      </c>
      <c r="D9">
        <f>'P&amp;L WC'!B9-'P&amp;L WC'!C9</f>
        <v>0</v>
      </c>
      <c r="E9">
        <f>'P&amp;L WC'!D9*0.95</f>
        <v>0</v>
      </c>
      <c r="F9">
        <f>'P&amp;L WC'!E9*[reserve-model.xlsx]'Reserve Summary'!C4/[reserve-model.xlsx]'Reserve Summary'!B4</f>
        <v>0</v>
      </c>
      <c r="G9">
        <f>'P&amp;L WC'!F9*0.08</f>
        <v>0</v>
      </c>
      <c r="H9">
        <f>'P&amp;L WC'!F9*0.05</f>
        <v>0</v>
      </c>
      <c r="I9">
        <f>'P&amp;L WC'!F9+'P&amp;L WC'!G9+'P&amp;L WC'!H9</f>
        <v>0</v>
      </c>
      <c r="J9">
        <f>'P&amp;L WC'!E9*0.27</f>
        <v>0</v>
      </c>
      <c r="K9">
        <f>'P&amp;L WC'!E9-'P&amp;L WC'!I9-'P&amp;L WC'!J9</f>
        <v>0</v>
      </c>
      <c r="L9">
        <f>'P&amp;L WC'!E9*InvYield/4</f>
        <v>0</v>
      </c>
      <c r="M9">
        <f>'P&amp;L WC'!K9+'P&amp;L WC'!L9</f>
        <v>0</v>
      </c>
    </row>
    <row r="10">
      <c r="A10" t="str">
        <v>Annual Total</v>
      </c>
      <c r="B10">
        <f>SUM(B2:B9)</f>
        <v>0</v>
      </c>
      <c r="C10">
        <f>SUM(C2:C9)</f>
        <v>0</v>
      </c>
      <c r="D10">
        <f>SUM(D2:D9)</f>
        <v>0</v>
      </c>
      <c r="E10">
        <f>SUM(E2:E9)</f>
        <v>0</v>
      </c>
      <c r="F10">
        <f>SUM(F2:F9)</f>
        <v>0</v>
      </c>
      <c r="G10">
        <f>SUM(G2:G9)</f>
        <v>0</v>
      </c>
      <c r="H10">
        <f>SUM(H2:H9)</f>
        <v>0</v>
      </c>
      <c r="I10">
        <f>SUM(I2:I9)</f>
        <v>0</v>
      </c>
      <c r="J10">
        <f>SUM(J2:J9)</f>
        <v>0</v>
      </c>
      <c r="K10">
        <f>SUM(K2:K9)</f>
        <v>0</v>
      </c>
      <c r="L10">
        <f>SUM(L2:L9)</f>
        <v>0</v>
      </c>
      <c r="M10">
        <f>SUM(M2:M9)</f>
        <v>0</v>
      </c>
    </row>
  </sheetData>
  <ignoredErrors>
    <ignoredError numberStoredAsText="1" sqref="A1:M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Quarter</v>
      </c>
      <c r="B1" t="str">
        <v>Gross WP</v>
      </c>
      <c r="C1" t="str">
        <v>Ceded WP</v>
      </c>
      <c r="D1" t="str">
        <v>Net WP</v>
      </c>
      <c r="E1" t="str">
        <v>Net EP</v>
      </c>
      <c r="F1" t="str">
        <v>Incurred Loss</v>
      </c>
      <c r="G1" t="str">
        <v>ALAE</v>
      </c>
      <c r="H1" t="str">
        <v>ULAE</v>
      </c>
      <c r="I1" t="str">
        <v>Net Loss</v>
      </c>
      <c r="J1" t="str">
        <v>UW Expense</v>
      </c>
      <c r="K1" t="str">
        <v>UW Income</v>
      </c>
      <c r="L1" t="str">
        <v>Inv Income</v>
      </c>
      <c r="M1" t="str">
        <v>Pre-Tax Income</v>
      </c>
    </row>
    <row r="2">
      <c r="A2" t="str">
        <v>2025 Q1</v>
      </c>
      <c r="B2">
        <v>2901020</v>
      </c>
      <c r="C2">
        <f>'P&amp;L Property'!B2*[reinsurance-model.xlsx]'Treaty Structure'!F2</f>
        <v>0</v>
      </c>
      <c r="D2">
        <f>'P&amp;L Property'!B2-'P&amp;L Property'!C2</f>
        <v>0</v>
      </c>
      <c r="E2">
        <f>'P&amp;L Property'!D2*0.95</f>
        <v>0</v>
      </c>
      <c r="F2">
        <f>'P&amp;L Property'!E2*[reserve-model.xlsx]'Reserve Summary'!C5/[reserve-model.xlsx]'Reserve Summary'!B5</f>
        <v>0</v>
      </c>
      <c r="G2">
        <f>'P&amp;L Property'!F2*0.08</f>
        <v>0</v>
      </c>
      <c r="H2">
        <f>'P&amp;L Property'!F2*0.05</f>
        <v>0</v>
      </c>
      <c r="I2">
        <f>'P&amp;L Property'!F2+'P&amp;L Property'!G2+'P&amp;L Property'!H2</f>
        <v>0</v>
      </c>
      <c r="J2">
        <f>'P&amp;L Property'!E2*0.27</f>
        <v>0</v>
      </c>
      <c r="K2">
        <f>'P&amp;L Property'!E2-'P&amp;L Property'!I2-'P&amp;L Property'!J2</f>
        <v>0</v>
      </c>
      <c r="L2">
        <f>'P&amp;L Property'!E2*InvYield/4</f>
        <v>0</v>
      </c>
      <c r="M2">
        <f>'P&amp;L Property'!K2+'P&amp;L Property'!L2</f>
        <v>0</v>
      </c>
    </row>
    <row r="3">
      <c r="A3" t="str">
        <v>2025 Q2</v>
      </c>
      <c r="B3">
        <v>3096914</v>
      </c>
      <c r="C3">
        <f>'P&amp;L Property'!B3*[reinsurance-model.xlsx]'Treaty Structure'!F2</f>
        <v>0</v>
      </c>
      <c r="D3">
        <f>'P&amp;L Property'!B3-'P&amp;L Property'!C3</f>
        <v>0</v>
      </c>
      <c r="E3">
        <f>'P&amp;L Property'!D3*0.95</f>
        <v>0</v>
      </c>
      <c r="F3">
        <f>'P&amp;L Property'!E3*[reserve-model.xlsx]'Reserve Summary'!C5/[reserve-model.xlsx]'Reserve Summary'!B5</f>
        <v>0</v>
      </c>
      <c r="G3">
        <f>'P&amp;L Property'!F3*0.08</f>
        <v>0</v>
      </c>
      <c r="H3">
        <f>'P&amp;L Property'!F3*0.05</f>
        <v>0</v>
      </c>
      <c r="I3">
        <f>'P&amp;L Property'!F3+'P&amp;L Property'!G3+'P&amp;L Property'!H3</f>
        <v>0</v>
      </c>
      <c r="J3">
        <f>'P&amp;L Property'!E3*0.27</f>
        <v>0</v>
      </c>
      <c r="K3">
        <f>'P&amp;L Property'!E3-'P&amp;L Property'!I3-'P&amp;L Property'!J3</f>
        <v>0</v>
      </c>
      <c r="L3">
        <f>'P&amp;L Property'!E3*InvYield/4</f>
        <v>0</v>
      </c>
      <c r="M3">
        <f>'P&amp;L Property'!K3+'P&amp;L Property'!L3</f>
        <v>0</v>
      </c>
    </row>
    <row r="4">
      <c r="A4" t="str">
        <v>2025 Q3</v>
      </c>
      <c r="B4">
        <v>3130221</v>
      </c>
      <c r="C4">
        <f>'P&amp;L Property'!B4*[reinsurance-model.xlsx]'Treaty Structure'!F2</f>
        <v>0</v>
      </c>
      <c r="D4">
        <f>'P&amp;L Property'!B4-'P&amp;L Property'!C4</f>
        <v>0</v>
      </c>
      <c r="E4">
        <f>'P&amp;L Property'!D4*0.95</f>
        <v>0</v>
      </c>
      <c r="F4">
        <f>'P&amp;L Property'!E4*[reserve-model.xlsx]'Reserve Summary'!C5/[reserve-model.xlsx]'Reserve Summary'!B5</f>
        <v>0</v>
      </c>
      <c r="G4">
        <f>'P&amp;L Property'!F4*0.08</f>
        <v>0</v>
      </c>
      <c r="H4">
        <f>'P&amp;L Property'!F4*0.05</f>
        <v>0</v>
      </c>
      <c r="I4">
        <f>'P&amp;L Property'!F4+'P&amp;L Property'!G4+'P&amp;L Property'!H4</f>
        <v>0</v>
      </c>
      <c r="J4">
        <f>'P&amp;L Property'!E4*0.27</f>
        <v>0</v>
      </c>
      <c r="K4">
        <f>'P&amp;L Property'!E4-'P&amp;L Property'!I4-'P&amp;L Property'!J4</f>
        <v>0</v>
      </c>
      <c r="L4">
        <f>'P&amp;L Property'!E4*InvYield/4</f>
        <v>0</v>
      </c>
      <c r="M4">
        <f>'P&amp;L Property'!K4+'P&amp;L Property'!L4</f>
        <v>0</v>
      </c>
    </row>
    <row r="5">
      <c r="A5" t="str">
        <v>2025 Q4</v>
      </c>
      <c r="B5">
        <v>3053804</v>
      </c>
      <c r="C5">
        <f>'P&amp;L Property'!B5*[reinsurance-model.xlsx]'Treaty Structure'!F2</f>
        <v>0</v>
      </c>
      <c r="D5">
        <f>'P&amp;L Property'!B5-'P&amp;L Property'!C5</f>
        <v>0</v>
      </c>
      <c r="E5">
        <f>'P&amp;L Property'!D5*0.95</f>
        <v>0</v>
      </c>
      <c r="F5">
        <f>'P&amp;L Property'!E5*[reserve-model.xlsx]'Reserve Summary'!C5/[reserve-model.xlsx]'Reserve Summary'!B5</f>
        <v>0</v>
      </c>
      <c r="G5">
        <f>'P&amp;L Property'!F5*0.08</f>
        <v>0</v>
      </c>
      <c r="H5">
        <f>'P&amp;L Property'!F5*0.05</f>
        <v>0</v>
      </c>
      <c r="I5">
        <f>'P&amp;L Property'!F5+'P&amp;L Property'!G5+'P&amp;L Property'!H5</f>
        <v>0</v>
      </c>
      <c r="J5">
        <f>'P&amp;L Property'!E5*0.27</f>
        <v>0</v>
      </c>
      <c r="K5">
        <f>'P&amp;L Property'!E5-'P&amp;L Property'!I5-'P&amp;L Property'!J5</f>
        <v>0</v>
      </c>
      <c r="L5">
        <f>'P&amp;L Property'!E5*InvYield/4</f>
        <v>0</v>
      </c>
      <c r="M5">
        <f>'P&amp;L Property'!K5+'P&amp;L Property'!L5</f>
        <v>0</v>
      </c>
    </row>
    <row r="6">
      <c r="A6" t="str">
        <v>2026 Q1</v>
      </c>
      <c r="B6">
        <v>3161352</v>
      </c>
      <c r="C6">
        <f>'P&amp;L Property'!B6*[reinsurance-model.xlsx]'Treaty Structure'!F2</f>
        <v>0</v>
      </c>
      <c r="D6">
        <f>'P&amp;L Property'!B6-'P&amp;L Property'!C6</f>
        <v>0</v>
      </c>
      <c r="E6">
        <f>'P&amp;L Property'!D6*0.95</f>
        <v>0</v>
      </c>
      <c r="F6">
        <f>'P&amp;L Property'!E6*[reserve-model.xlsx]'Reserve Summary'!C5/[reserve-model.xlsx]'Reserve Summary'!B5</f>
        <v>0</v>
      </c>
      <c r="G6">
        <f>'P&amp;L Property'!F6*0.08</f>
        <v>0</v>
      </c>
      <c r="H6">
        <f>'P&amp;L Property'!F6*0.05</f>
        <v>0</v>
      </c>
      <c r="I6">
        <f>'P&amp;L Property'!F6+'P&amp;L Property'!G6+'P&amp;L Property'!H6</f>
        <v>0</v>
      </c>
      <c r="J6">
        <f>'P&amp;L Property'!E6*0.27</f>
        <v>0</v>
      </c>
      <c r="K6">
        <f>'P&amp;L Property'!E6-'P&amp;L Property'!I6-'P&amp;L Property'!J6</f>
        <v>0</v>
      </c>
      <c r="L6">
        <f>'P&amp;L Property'!E6*InvYield/4</f>
        <v>0</v>
      </c>
      <c r="M6">
        <f>'P&amp;L Property'!K6+'P&amp;L Property'!L6</f>
        <v>0</v>
      </c>
    </row>
    <row r="7">
      <c r="A7" t="str">
        <v>2026 Q2</v>
      </c>
      <c r="B7">
        <v>3258329</v>
      </c>
      <c r="C7">
        <f>'P&amp;L Property'!B7*[reinsurance-model.xlsx]'Treaty Structure'!F2</f>
        <v>0</v>
      </c>
      <c r="D7">
        <f>'P&amp;L Property'!B7-'P&amp;L Property'!C7</f>
        <v>0</v>
      </c>
      <c r="E7">
        <f>'P&amp;L Property'!D7*0.95</f>
        <v>0</v>
      </c>
      <c r="F7">
        <f>'P&amp;L Property'!E7*[reserve-model.xlsx]'Reserve Summary'!C5/[reserve-model.xlsx]'Reserve Summary'!B5</f>
        <v>0</v>
      </c>
      <c r="G7">
        <f>'P&amp;L Property'!F7*0.08</f>
        <v>0</v>
      </c>
      <c r="H7">
        <f>'P&amp;L Property'!F7*0.05</f>
        <v>0</v>
      </c>
      <c r="I7">
        <f>'P&amp;L Property'!F7+'P&amp;L Property'!G7+'P&amp;L Property'!H7</f>
        <v>0</v>
      </c>
      <c r="J7">
        <f>'P&amp;L Property'!E7*0.27</f>
        <v>0</v>
      </c>
      <c r="K7">
        <f>'P&amp;L Property'!E7-'P&amp;L Property'!I7-'P&amp;L Property'!J7</f>
        <v>0</v>
      </c>
      <c r="L7">
        <f>'P&amp;L Property'!E7*InvYield/4</f>
        <v>0</v>
      </c>
      <c r="M7">
        <f>'P&amp;L Property'!K7+'P&amp;L Property'!L7</f>
        <v>0</v>
      </c>
    </row>
    <row r="8">
      <c r="A8" t="str">
        <v>2026 Q3</v>
      </c>
      <c r="B8">
        <v>3211335</v>
      </c>
      <c r="C8">
        <f>'P&amp;L Property'!B8*[reinsurance-model.xlsx]'Treaty Structure'!F2</f>
        <v>0</v>
      </c>
      <c r="D8">
        <f>'P&amp;L Property'!B8-'P&amp;L Property'!C8</f>
        <v>0</v>
      </c>
      <c r="E8">
        <f>'P&amp;L Property'!D8*0.95</f>
        <v>0</v>
      </c>
      <c r="F8">
        <f>'P&amp;L Property'!E8*[reserve-model.xlsx]'Reserve Summary'!C5/[reserve-model.xlsx]'Reserve Summary'!B5</f>
        <v>0</v>
      </c>
      <c r="G8">
        <f>'P&amp;L Property'!F8*0.08</f>
        <v>0</v>
      </c>
      <c r="H8">
        <f>'P&amp;L Property'!F8*0.05</f>
        <v>0</v>
      </c>
      <c r="I8">
        <f>'P&amp;L Property'!F8+'P&amp;L Property'!G8+'P&amp;L Property'!H8</f>
        <v>0</v>
      </c>
      <c r="J8">
        <f>'P&amp;L Property'!E8*0.27</f>
        <v>0</v>
      </c>
      <c r="K8">
        <f>'P&amp;L Property'!E8-'P&amp;L Property'!I8-'P&amp;L Property'!J8</f>
        <v>0</v>
      </c>
      <c r="L8">
        <f>'P&amp;L Property'!E8*InvYield/4</f>
        <v>0</v>
      </c>
      <c r="M8">
        <f>'P&amp;L Property'!K8+'P&amp;L Property'!L8</f>
        <v>0</v>
      </c>
    </row>
    <row r="9">
      <c r="A9" t="str">
        <v>2026 Q4</v>
      </c>
      <c r="B9">
        <v>3348356</v>
      </c>
      <c r="C9">
        <f>'P&amp;L Property'!B9*[reinsurance-model.xlsx]'Treaty Structure'!F2</f>
        <v>0</v>
      </c>
      <c r="D9">
        <f>'P&amp;L Property'!B9-'P&amp;L Property'!C9</f>
        <v>0</v>
      </c>
      <c r="E9">
        <f>'P&amp;L Property'!D9*0.95</f>
        <v>0</v>
      </c>
      <c r="F9">
        <f>'P&amp;L Property'!E9*[reserve-model.xlsx]'Reserve Summary'!C5/[reserve-model.xlsx]'Reserve Summary'!B5</f>
        <v>0</v>
      </c>
      <c r="G9">
        <f>'P&amp;L Property'!F9*0.08</f>
        <v>0</v>
      </c>
      <c r="H9">
        <f>'P&amp;L Property'!F9*0.05</f>
        <v>0</v>
      </c>
      <c r="I9">
        <f>'P&amp;L Property'!F9+'P&amp;L Property'!G9+'P&amp;L Property'!H9</f>
        <v>0</v>
      </c>
      <c r="J9">
        <f>'P&amp;L Property'!E9*0.27</f>
        <v>0</v>
      </c>
      <c r="K9">
        <f>'P&amp;L Property'!E9-'P&amp;L Property'!I9-'P&amp;L Property'!J9</f>
        <v>0</v>
      </c>
      <c r="L9">
        <f>'P&amp;L Property'!E9*InvYield/4</f>
        <v>0</v>
      </c>
      <c r="M9">
        <f>'P&amp;L Property'!K9+'P&amp;L Property'!L9</f>
        <v>0</v>
      </c>
    </row>
    <row r="10">
      <c r="A10" t="str">
        <v>Annual Total</v>
      </c>
      <c r="B10">
        <f>SUM(B2:B9)</f>
        <v>0</v>
      </c>
      <c r="C10">
        <f>SUM(C2:C9)</f>
        <v>0</v>
      </c>
      <c r="D10">
        <f>SUM(D2:D9)</f>
        <v>0</v>
      </c>
      <c r="E10">
        <f>SUM(E2:E9)</f>
        <v>0</v>
      </c>
      <c r="F10">
        <f>SUM(F2:F9)</f>
        <v>0</v>
      </c>
      <c r="G10">
        <f>SUM(G2:G9)</f>
        <v>0</v>
      </c>
      <c r="H10">
        <f>SUM(H2:H9)</f>
        <v>0</v>
      </c>
      <c r="I10">
        <f>SUM(I2:I9)</f>
        <v>0</v>
      </c>
      <c r="J10">
        <f>SUM(J2:J9)</f>
        <v>0</v>
      </c>
      <c r="K10">
        <f>SUM(K2:K9)</f>
        <v>0</v>
      </c>
      <c r="L10">
        <f>SUM(L2:L9)</f>
        <v>0</v>
      </c>
      <c r="M10">
        <f>SUM(M2:M9)</f>
        <v>0</v>
      </c>
    </row>
  </sheetData>
  <ignoredErrors>
    <ignoredError numberStoredAsText="1" sqref="A1:M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Quarter</v>
      </c>
      <c r="B1" t="str">
        <v>Gross WP</v>
      </c>
      <c r="C1" t="str">
        <v>Ceded WP</v>
      </c>
      <c r="D1" t="str">
        <v>Net WP</v>
      </c>
      <c r="E1" t="str">
        <v>Net EP</v>
      </c>
      <c r="F1" t="str">
        <v>Incurred Loss</v>
      </c>
      <c r="G1" t="str">
        <v>ALAE</v>
      </c>
      <c r="H1" t="str">
        <v>ULAE</v>
      </c>
      <c r="I1" t="str">
        <v>Net Loss</v>
      </c>
      <c r="J1" t="str">
        <v>UW Expense</v>
      </c>
      <c r="K1" t="str">
        <v>UW Income</v>
      </c>
      <c r="L1" t="str">
        <v>Inv Income</v>
      </c>
      <c r="M1" t="str">
        <v>Pre-Tax Income</v>
      </c>
    </row>
    <row r="2">
      <c r="A2" t="str">
        <v>2025 Q1</v>
      </c>
      <c r="B2">
        <v>3256948</v>
      </c>
      <c r="C2">
        <f>'P&amp;L Professional'!B2*[reinsurance-model.xlsx]'Treaty Structure'!F2</f>
        <v>0</v>
      </c>
      <c r="D2">
        <f>'P&amp;L Professional'!B2-'P&amp;L Professional'!C2</f>
        <v>0</v>
      </c>
      <c r="E2">
        <f>'P&amp;L Professional'!D2*0.95</f>
        <v>0</v>
      </c>
      <c r="F2">
        <f>'P&amp;L Professional'!E2*[reserve-model.xlsx]'Reserve Summary'!C6/[reserve-model.xlsx]'Reserve Summary'!B6</f>
        <v>0</v>
      </c>
      <c r="G2">
        <f>'P&amp;L Professional'!F2*0.08</f>
        <v>0</v>
      </c>
      <c r="H2">
        <f>'P&amp;L Professional'!F2*0.05</f>
        <v>0</v>
      </c>
      <c r="I2">
        <f>'P&amp;L Professional'!F2+'P&amp;L Professional'!G2+'P&amp;L Professional'!H2</f>
        <v>0</v>
      </c>
      <c r="J2">
        <f>'P&amp;L Professional'!E2*0.27</f>
        <v>0</v>
      </c>
      <c r="K2">
        <f>'P&amp;L Professional'!E2-'P&amp;L Professional'!I2-'P&amp;L Professional'!J2</f>
        <v>0</v>
      </c>
      <c r="L2">
        <f>'P&amp;L Professional'!E2*InvYield/4</f>
        <v>0</v>
      </c>
      <c r="M2">
        <f>'P&amp;L Professional'!K2+'P&amp;L Professional'!L2</f>
        <v>0</v>
      </c>
    </row>
    <row r="3">
      <c r="A3" t="str">
        <v>2025 Q2</v>
      </c>
      <c r="B3">
        <v>3442615</v>
      </c>
      <c r="C3">
        <f>'P&amp;L Professional'!B3*[reinsurance-model.xlsx]'Treaty Structure'!F2</f>
        <v>0</v>
      </c>
      <c r="D3">
        <f>'P&amp;L Professional'!B3-'P&amp;L Professional'!C3</f>
        <v>0</v>
      </c>
      <c r="E3">
        <f>'P&amp;L Professional'!D3*0.95</f>
        <v>0</v>
      </c>
      <c r="F3">
        <f>'P&amp;L Professional'!E3*[reserve-model.xlsx]'Reserve Summary'!C6/[reserve-model.xlsx]'Reserve Summary'!B6</f>
        <v>0</v>
      </c>
      <c r="G3">
        <f>'P&amp;L Professional'!F3*0.08</f>
        <v>0</v>
      </c>
      <c r="H3">
        <f>'P&amp;L Professional'!F3*0.05</f>
        <v>0</v>
      </c>
      <c r="I3">
        <f>'P&amp;L Professional'!F3+'P&amp;L Professional'!G3+'P&amp;L Professional'!H3</f>
        <v>0</v>
      </c>
      <c r="J3">
        <f>'P&amp;L Professional'!E3*0.27</f>
        <v>0</v>
      </c>
      <c r="K3">
        <f>'P&amp;L Professional'!E3-'P&amp;L Professional'!I3-'P&amp;L Professional'!J3</f>
        <v>0</v>
      </c>
      <c r="L3">
        <f>'P&amp;L Professional'!E3*InvYield/4</f>
        <v>0</v>
      </c>
      <c r="M3">
        <f>'P&amp;L Professional'!K3+'P&amp;L Professional'!L3</f>
        <v>0</v>
      </c>
    </row>
    <row r="4">
      <c r="A4" t="str">
        <v>2025 Q3</v>
      </c>
      <c r="B4">
        <v>3317283</v>
      </c>
      <c r="C4">
        <f>'P&amp;L Professional'!B4*[reinsurance-model.xlsx]'Treaty Structure'!F2</f>
        <v>0</v>
      </c>
      <c r="D4">
        <f>'P&amp;L Professional'!B4-'P&amp;L Professional'!C4</f>
        <v>0</v>
      </c>
      <c r="E4">
        <f>'P&amp;L Professional'!D4*0.95</f>
        <v>0</v>
      </c>
      <c r="F4">
        <f>'P&amp;L Professional'!E4*[reserve-model.xlsx]'Reserve Summary'!C6/[reserve-model.xlsx]'Reserve Summary'!B6</f>
        <v>0</v>
      </c>
      <c r="G4">
        <f>'P&amp;L Professional'!F4*0.08</f>
        <v>0</v>
      </c>
      <c r="H4">
        <f>'P&amp;L Professional'!F4*0.05</f>
        <v>0</v>
      </c>
      <c r="I4">
        <f>'P&amp;L Professional'!F4+'P&amp;L Professional'!G4+'P&amp;L Professional'!H4</f>
        <v>0</v>
      </c>
      <c r="J4">
        <f>'P&amp;L Professional'!E4*0.27</f>
        <v>0</v>
      </c>
      <c r="K4">
        <f>'P&amp;L Professional'!E4-'P&amp;L Professional'!I4-'P&amp;L Professional'!J4</f>
        <v>0</v>
      </c>
      <c r="L4">
        <f>'P&amp;L Professional'!E4*InvYield/4</f>
        <v>0</v>
      </c>
      <c r="M4">
        <f>'P&amp;L Professional'!K4+'P&amp;L Professional'!L4</f>
        <v>0</v>
      </c>
    </row>
    <row r="5">
      <c r="A5" t="str">
        <v>2025 Q4</v>
      </c>
      <c r="B5">
        <v>3369628</v>
      </c>
      <c r="C5">
        <f>'P&amp;L Professional'!B5*[reinsurance-model.xlsx]'Treaty Structure'!F2</f>
        <v>0</v>
      </c>
      <c r="D5">
        <f>'P&amp;L Professional'!B5-'P&amp;L Professional'!C5</f>
        <v>0</v>
      </c>
      <c r="E5">
        <f>'P&amp;L Professional'!D5*0.95</f>
        <v>0</v>
      </c>
      <c r="F5">
        <f>'P&amp;L Professional'!E5*[reserve-model.xlsx]'Reserve Summary'!C6/[reserve-model.xlsx]'Reserve Summary'!B6</f>
        <v>0</v>
      </c>
      <c r="G5">
        <f>'P&amp;L Professional'!F5*0.08</f>
        <v>0</v>
      </c>
      <c r="H5">
        <f>'P&amp;L Professional'!F5*0.05</f>
        <v>0</v>
      </c>
      <c r="I5">
        <f>'P&amp;L Professional'!F5+'P&amp;L Professional'!G5+'P&amp;L Professional'!H5</f>
        <v>0</v>
      </c>
      <c r="J5">
        <f>'P&amp;L Professional'!E5*0.27</f>
        <v>0</v>
      </c>
      <c r="K5">
        <f>'P&amp;L Professional'!E5-'P&amp;L Professional'!I5-'P&amp;L Professional'!J5</f>
        <v>0</v>
      </c>
      <c r="L5">
        <f>'P&amp;L Professional'!E5*InvYield/4</f>
        <v>0</v>
      </c>
      <c r="M5">
        <f>'P&amp;L Professional'!K5+'P&amp;L Professional'!L5</f>
        <v>0</v>
      </c>
    </row>
    <row r="6">
      <c r="A6" t="str">
        <v>2026 Q1</v>
      </c>
      <c r="B6">
        <v>3445590</v>
      </c>
      <c r="C6">
        <f>'P&amp;L Professional'!B6*[reinsurance-model.xlsx]'Treaty Structure'!F2</f>
        <v>0</v>
      </c>
      <c r="D6">
        <f>'P&amp;L Professional'!B6-'P&amp;L Professional'!C6</f>
        <v>0</v>
      </c>
      <c r="E6">
        <f>'P&amp;L Professional'!D6*0.95</f>
        <v>0</v>
      </c>
      <c r="F6">
        <f>'P&amp;L Professional'!E6*[reserve-model.xlsx]'Reserve Summary'!C6/[reserve-model.xlsx]'Reserve Summary'!B6</f>
        <v>0</v>
      </c>
      <c r="G6">
        <f>'P&amp;L Professional'!F6*0.08</f>
        <v>0</v>
      </c>
      <c r="H6">
        <f>'P&amp;L Professional'!F6*0.05</f>
        <v>0</v>
      </c>
      <c r="I6">
        <f>'P&amp;L Professional'!F6+'P&amp;L Professional'!G6+'P&amp;L Professional'!H6</f>
        <v>0</v>
      </c>
      <c r="J6">
        <f>'P&amp;L Professional'!E6*0.27</f>
        <v>0</v>
      </c>
      <c r="K6">
        <f>'P&amp;L Professional'!E6-'P&amp;L Professional'!I6-'P&amp;L Professional'!J6</f>
        <v>0</v>
      </c>
      <c r="L6">
        <f>'P&amp;L Professional'!E6*InvYield/4</f>
        <v>0</v>
      </c>
      <c r="M6">
        <f>'P&amp;L Professional'!K6+'P&amp;L Professional'!L6</f>
        <v>0</v>
      </c>
    </row>
    <row r="7">
      <c r="A7" t="str">
        <v>2026 Q2</v>
      </c>
      <c r="B7">
        <v>3472235</v>
      </c>
      <c r="C7">
        <f>'P&amp;L Professional'!B7*[reinsurance-model.xlsx]'Treaty Structure'!F2</f>
        <v>0</v>
      </c>
      <c r="D7">
        <f>'P&amp;L Professional'!B7-'P&amp;L Professional'!C7</f>
        <v>0</v>
      </c>
      <c r="E7">
        <f>'P&amp;L Professional'!D7*0.95</f>
        <v>0</v>
      </c>
      <c r="F7">
        <f>'P&amp;L Professional'!E7*[reserve-model.xlsx]'Reserve Summary'!C6/[reserve-model.xlsx]'Reserve Summary'!B6</f>
        <v>0</v>
      </c>
      <c r="G7">
        <f>'P&amp;L Professional'!F7*0.08</f>
        <v>0</v>
      </c>
      <c r="H7">
        <f>'P&amp;L Professional'!F7*0.05</f>
        <v>0</v>
      </c>
      <c r="I7">
        <f>'P&amp;L Professional'!F7+'P&amp;L Professional'!G7+'P&amp;L Professional'!H7</f>
        <v>0</v>
      </c>
      <c r="J7">
        <f>'P&amp;L Professional'!E7*0.27</f>
        <v>0</v>
      </c>
      <c r="K7">
        <f>'P&amp;L Professional'!E7-'P&amp;L Professional'!I7-'P&amp;L Professional'!J7</f>
        <v>0</v>
      </c>
      <c r="L7">
        <f>'P&amp;L Professional'!E7*InvYield/4</f>
        <v>0</v>
      </c>
      <c r="M7">
        <f>'P&amp;L Professional'!K7+'P&amp;L Professional'!L7</f>
        <v>0</v>
      </c>
    </row>
    <row r="8">
      <c r="A8" t="str">
        <v>2026 Q3</v>
      </c>
      <c r="B8">
        <v>3632107</v>
      </c>
      <c r="C8">
        <f>'P&amp;L Professional'!B8*[reinsurance-model.xlsx]'Treaty Structure'!F2</f>
        <v>0</v>
      </c>
      <c r="D8">
        <f>'P&amp;L Professional'!B8-'P&amp;L Professional'!C8</f>
        <v>0</v>
      </c>
      <c r="E8">
        <f>'P&amp;L Professional'!D8*0.95</f>
        <v>0</v>
      </c>
      <c r="F8">
        <f>'P&amp;L Professional'!E8*[reserve-model.xlsx]'Reserve Summary'!C6/[reserve-model.xlsx]'Reserve Summary'!B6</f>
        <v>0</v>
      </c>
      <c r="G8">
        <f>'P&amp;L Professional'!F8*0.08</f>
        <v>0</v>
      </c>
      <c r="H8">
        <f>'P&amp;L Professional'!F8*0.05</f>
        <v>0</v>
      </c>
      <c r="I8">
        <f>'P&amp;L Professional'!F8+'P&amp;L Professional'!G8+'P&amp;L Professional'!H8</f>
        <v>0</v>
      </c>
      <c r="J8">
        <f>'P&amp;L Professional'!E8*0.27</f>
        <v>0</v>
      </c>
      <c r="K8">
        <f>'P&amp;L Professional'!E8-'P&amp;L Professional'!I8-'P&amp;L Professional'!J8</f>
        <v>0</v>
      </c>
      <c r="L8">
        <f>'P&amp;L Professional'!E8*InvYield/4</f>
        <v>0</v>
      </c>
      <c r="M8">
        <f>'P&amp;L Professional'!K8+'P&amp;L Professional'!L8</f>
        <v>0</v>
      </c>
    </row>
    <row r="9">
      <c r="A9" t="str">
        <v>2026 Q4</v>
      </c>
      <c r="B9">
        <v>3706732</v>
      </c>
      <c r="C9">
        <f>'P&amp;L Professional'!B9*[reinsurance-model.xlsx]'Treaty Structure'!F2</f>
        <v>0</v>
      </c>
      <c r="D9">
        <f>'P&amp;L Professional'!B9-'P&amp;L Professional'!C9</f>
        <v>0</v>
      </c>
      <c r="E9">
        <f>'P&amp;L Professional'!D9*0.95</f>
        <v>0</v>
      </c>
      <c r="F9">
        <f>'P&amp;L Professional'!E9*[reserve-model.xlsx]'Reserve Summary'!C6/[reserve-model.xlsx]'Reserve Summary'!B6</f>
        <v>0</v>
      </c>
      <c r="G9">
        <f>'P&amp;L Professional'!F9*0.08</f>
        <v>0</v>
      </c>
      <c r="H9">
        <f>'P&amp;L Professional'!F9*0.05</f>
        <v>0</v>
      </c>
      <c r="I9">
        <f>'P&amp;L Professional'!F9+'P&amp;L Professional'!G9+'P&amp;L Professional'!H9</f>
        <v>0</v>
      </c>
      <c r="J9">
        <f>'P&amp;L Professional'!E9*0.27</f>
        <v>0</v>
      </c>
      <c r="K9">
        <f>'P&amp;L Professional'!E9-'P&amp;L Professional'!I9-'P&amp;L Professional'!J9</f>
        <v>0</v>
      </c>
      <c r="L9">
        <f>'P&amp;L Professional'!E9*InvYield/4</f>
        <v>0</v>
      </c>
      <c r="M9">
        <f>'P&amp;L Professional'!K9+'P&amp;L Professional'!L9</f>
        <v>0</v>
      </c>
    </row>
    <row r="10">
      <c r="A10" t="str">
        <v>Annual Total</v>
      </c>
      <c r="B10">
        <f>SUM(B2:B9)</f>
        <v>0</v>
      </c>
      <c r="C10">
        <f>SUM(C2:C9)</f>
        <v>0</v>
      </c>
      <c r="D10">
        <f>SUM(D2:D9)</f>
        <v>0</v>
      </c>
      <c r="E10">
        <f>SUM(E2:E9)</f>
        <v>0</v>
      </c>
      <c r="F10">
        <f>SUM(F2:F9)</f>
        <v>0</v>
      </c>
      <c r="G10">
        <f>SUM(G2:G9)</f>
        <v>0</v>
      </c>
      <c r="H10">
        <f>SUM(H2:H9)</f>
        <v>0</v>
      </c>
      <c r="I10">
        <f>SUM(I2:I9)</f>
        <v>0</v>
      </c>
      <c r="J10">
        <f>SUM(J2:J9)</f>
        <v>0</v>
      </c>
      <c r="K10">
        <f>SUM(K2:K9)</f>
        <v>0</v>
      </c>
      <c r="L10">
        <f>SUM(L2:L9)</f>
        <v>0</v>
      </c>
      <c r="M10">
        <f>SUM(M2:M9)</f>
        <v>0</v>
      </c>
    </row>
  </sheetData>
  <ignoredErrors>
    <ignoredError numberStoredAsText="1" sqref="A1:M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Quarter</v>
      </c>
      <c r="B1" t="str">
        <v>Gross WP</v>
      </c>
      <c r="C1" t="str">
        <v>Ceded WP</v>
      </c>
      <c r="D1" t="str">
        <v>Net WP</v>
      </c>
      <c r="E1" t="str">
        <v>Net EP</v>
      </c>
      <c r="F1" t="str">
        <v>Incurred Loss</v>
      </c>
      <c r="G1" t="str">
        <v>ALAE</v>
      </c>
      <c r="H1" t="str">
        <v>ULAE</v>
      </c>
      <c r="I1" t="str">
        <v>Net Loss</v>
      </c>
      <c r="J1" t="str">
        <v>UW Expense</v>
      </c>
      <c r="K1" t="str">
        <v>UW Income</v>
      </c>
      <c r="L1" t="str">
        <v>Inv Income</v>
      </c>
      <c r="M1" t="str">
        <v>Pre-Tax Income</v>
      </c>
    </row>
    <row r="2">
      <c r="A2" t="str">
        <v>2025 Q1</v>
      </c>
      <c r="B2">
        <v>3633091</v>
      </c>
      <c r="C2">
        <f>'P&amp;L Umbrella'!B2*[reinsurance-model.xlsx]'Treaty Structure'!F2</f>
        <v>0</v>
      </c>
      <c r="D2">
        <f>'P&amp;L Umbrella'!B2-'P&amp;L Umbrella'!C2</f>
        <v>0</v>
      </c>
      <c r="E2">
        <f>'P&amp;L Umbrella'!D2*0.95</f>
        <v>0</v>
      </c>
      <c r="F2">
        <f>'P&amp;L Umbrella'!E2*[reserve-model.xlsx]'Reserve Summary'!C7/[reserve-model.xlsx]'Reserve Summary'!B7</f>
        <v>0</v>
      </c>
      <c r="G2">
        <f>'P&amp;L Umbrella'!F2*0.08</f>
        <v>0</v>
      </c>
      <c r="H2">
        <f>'P&amp;L Umbrella'!F2*0.05</f>
        <v>0</v>
      </c>
      <c r="I2">
        <f>'P&amp;L Umbrella'!F2+'P&amp;L Umbrella'!G2+'P&amp;L Umbrella'!H2</f>
        <v>0</v>
      </c>
      <c r="J2">
        <f>'P&amp;L Umbrella'!E2*0.27</f>
        <v>0</v>
      </c>
      <c r="K2">
        <f>'P&amp;L Umbrella'!E2-'P&amp;L Umbrella'!I2-'P&amp;L Umbrella'!J2</f>
        <v>0</v>
      </c>
      <c r="L2">
        <f>'P&amp;L Umbrella'!E2*InvYield/4</f>
        <v>0</v>
      </c>
      <c r="M2">
        <f>'P&amp;L Umbrella'!K2+'P&amp;L Umbrella'!L2</f>
        <v>0</v>
      </c>
    </row>
    <row r="3">
      <c r="A3" t="str">
        <v>2025 Q2</v>
      </c>
      <c r="B3">
        <v>3723785</v>
      </c>
      <c r="C3">
        <f>'P&amp;L Umbrella'!B3*[reinsurance-model.xlsx]'Treaty Structure'!F2</f>
        <v>0</v>
      </c>
      <c r="D3">
        <f>'P&amp;L Umbrella'!B3-'P&amp;L Umbrella'!C3</f>
        <v>0</v>
      </c>
      <c r="E3">
        <f>'P&amp;L Umbrella'!D3*0.95</f>
        <v>0</v>
      </c>
      <c r="F3">
        <f>'P&amp;L Umbrella'!E3*[reserve-model.xlsx]'Reserve Summary'!C7/[reserve-model.xlsx]'Reserve Summary'!B7</f>
        <v>0</v>
      </c>
      <c r="G3">
        <f>'P&amp;L Umbrella'!F3*0.08</f>
        <v>0</v>
      </c>
      <c r="H3">
        <f>'P&amp;L Umbrella'!F3*0.05</f>
        <v>0</v>
      </c>
      <c r="I3">
        <f>'P&amp;L Umbrella'!F3+'P&amp;L Umbrella'!G3+'P&amp;L Umbrella'!H3</f>
        <v>0</v>
      </c>
      <c r="J3">
        <f>'P&amp;L Umbrella'!E3*0.27</f>
        <v>0</v>
      </c>
      <c r="K3">
        <f>'P&amp;L Umbrella'!E3-'P&amp;L Umbrella'!I3-'P&amp;L Umbrella'!J3</f>
        <v>0</v>
      </c>
      <c r="L3">
        <f>'P&amp;L Umbrella'!E3*InvYield/4</f>
        <v>0</v>
      </c>
      <c r="M3">
        <f>'P&amp;L Umbrella'!K3+'P&amp;L Umbrella'!L3</f>
        <v>0</v>
      </c>
    </row>
    <row r="4">
      <c r="A4" t="str">
        <v>2025 Q3</v>
      </c>
      <c r="B4">
        <v>3685299</v>
      </c>
      <c r="C4">
        <f>'P&amp;L Umbrella'!B4*[reinsurance-model.xlsx]'Treaty Structure'!F2</f>
        <v>0</v>
      </c>
      <c r="D4">
        <f>'P&amp;L Umbrella'!B4-'P&amp;L Umbrella'!C4</f>
        <v>0</v>
      </c>
      <c r="E4">
        <f>'P&amp;L Umbrella'!D4*0.95</f>
        <v>0</v>
      </c>
      <c r="F4">
        <f>'P&amp;L Umbrella'!E4*[reserve-model.xlsx]'Reserve Summary'!C7/[reserve-model.xlsx]'Reserve Summary'!B7</f>
        <v>0</v>
      </c>
      <c r="G4">
        <f>'P&amp;L Umbrella'!F4*0.08</f>
        <v>0</v>
      </c>
      <c r="H4">
        <f>'P&amp;L Umbrella'!F4*0.05</f>
        <v>0</v>
      </c>
      <c r="I4">
        <f>'P&amp;L Umbrella'!F4+'P&amp;L Umbrella'!G4+'P&amp;L Umbrella'!H4</f>
        <v>0</v>
      </c>
      <c r="J4">
        <f>'P&amp;L Umbrella'!E4*0.27</f>
        <v>0</v>
      </c>
      <c r="K4">
        <f>'P&amp;L Umbrella'!E4-'P&amp;L Umbrella'!I4-'P&amp;L Umbrella'!J4</f>
        <v>0</v>
      </c>
      <c r="L4">
        <f>'P&amp;L Umbrella'!E4*InvYield/4</f>
        <v>0</v>
      </c>
      <c r="M4">
        <f>'P&amp;L Umbrella'!K4+'P&amp;L Umbrella'!L4</f>
        <v>0</v>
      </c>
    </row>
    <row r="5">
      <c r="A5" t="str">
        <v>2025 Q4</v>
      </c>
      <c r="B5">
        <v>3737080</v>
      </c>
      <c r="C5">
        <f>'P&amp;L Umbrella'!B5*[reinsurance-model.xlsx]'Treaty Structure'!F2</f>
        <v>0</v>
      </c>
      <c r="D5">
        <f>'P&amp;L Umbrella'!B5-'P&amp;L Umbrella'!C5</f>
        <v>0</v>
      </c>
      <c r="E5">
        <f>'P&amp;L Umbrella'!D5*0.95</f>
        <v>0</v>
      </c>
      <c r="F5">
        <f>'P&amp;L Umbrella'!E5*[reserve-model.xlsx]'Reserve Summary'!C7/[reserve-model.xlsx]'Reserve Summary'!B7</f>
        <v>0</v>
      </c>
      <c r="G5">
        <f>'P&amp;L Umbrella'!F5*0.08</f>
        <v>0</v>
      </c>
      <c r="H5">
        <f>'P&amp;L Umbrella'!F5*0.05</f>
        <v>0</v>
      </c>
      <c r="I5">
        <f>'P&amp;L Umbrella'!F5+'P&amp;L Umbrella'!G5+'P&amp;L Umbrella'!H5</f>
        <v>0</v>
      </c>
      <c r="J5">
        <f>'P&amp;L Umbrella'!E5*0.27</f>
        <v>0</v>
      </c>
      <c r="K5">
        <f>'P&amp;L Umbrella'!E5-'P&amp;L Umbrella'!I5-'P&amp;L Umbrella'!J5</f>
        <v>0</v>
      </c>
      <c r="L5">
        <f>'P&amp;L Umbrella'!E5*InvYield/4</f>
        <v>0</v>
      </c>
      <c r="M5">
        <f>'P&amp;L Umbrella'!K5+'P&amp;L Umbrella'!L5</f>
        <v>0</v>
      </c>
    </row>
    <row r="6">
      <c r="A6" t="str">
        <v>2026 Q1</v>
      </c>
      <c r="B6">
        <v>3750671</v>
      </c>
      <c r="C6">
        <f>'P&amp;L Umbrella'!B6*[reinsurance-model.xlsx]'Treaty Structure'!F2</f>
        <v>0</v>
      </c>
      <c r="D6">
        <f>'P&amp;L Umbrella'!B6-'P&amp;L Umbrella'!C6</f>
        <v>0</v>
      </c>
      <c r="E6">
        <f>'P&amp;L Umbrella'!D6*0.95</f>
        <v>0</v>
      </c>
      <c r="F6">
        <f>'P&amp;L Umbrella'!E6*[reserve-model.xlsx]'Reserve Summary'!C7/[reserve-model.xlsx]'Reserve Summary'!B7</f>
        <v>0</v>
      </c>
      <c r="G6">
        <f>'P&amp;L Umbrella'!F6*0.08</f>
        <v>0</v>
      </c>
      <c r="H6">
        <f>'P&amp;L Umbrella'!F6*0.05</f>
        <v>0</v>
      </c>
      <c r="I6">
        <f>'P&amp;L Umbrella'!F6+'P&amp;L Umbrella'!G6+'P&amp;L Umbrella'!H6</f>
        <v>0</v>
      </c>
      <c r="J6">
        <f>'P&amp;L Umbrella'!E6*0.27</f>
        <v>0</v>
      </c>
      <c r="K6">
        <f>'P&amp;L Umbrella'!E6-'P&amp;L Umbrella'!I6-'P&amp;L Umbrella'!J6</f>
        <v>0</v>
      </c>
      <c r="L6">
        <f>'P&amp;L Umbrella'!E6*InvYield/4</f>
        <v>0</v>
      </c>
      <c r="M6">
        <f>'P&amp;L Umbrella'!K6+'P&amp;L Umbrella'!L6</f>
        <v>0</v>
      </c>
    </row>
    <row r="7">
      <c r="A7" t="str">
        <v>2026 Q2</v>
      </c>
      <c r="B7">
        <v>3888891</v>
      </c>
      <c r="C7">
        <f>'P&amp;L Umbrella'!B7*[reinsurance-model.xlsx]'Treaty Structure'!F2</f>
        <v>0</v>
      </c>
      <c r="D7">
        <f>'P&amp;L Umbrella'!B7-'P&amp;L Umbrella'!C7</f>
        <v>0</v>
      </c>
      <c r="E7">
        <f>'P&amp;L Umbrella'!D7*0.95</f>
        <v>0</v>
      </c>
      <c r="F7">
        <f>'P&amp;L Umbrella'!E7*[reserve-model.xlsx]'Reserve Summary'!C7/[reserve-model.xlsx]'Reserve Summary'!B7</f>
        <v>0</v>
      </c>
      <c r="G7">
        <f>'P&amp;L Umbrella'!F7*0.08</f>
        <v>0</v>
      </c>
      <c r="H7">
        <f>'P&amp;L Umbrella'!F7*0.05</f>
        <v>0</v>
      </c>
      <c r="I7">
        <f>'P&amp;L Umbrella'!F7+'P&amp;L Umbrella'!G7+'P&amp;L Umbrella'!H7</f>
        <v>0</v>
      </c>
      <c r="J7">
        <f>'P&amp;L Umbrella'!E7*0.27</f>
        <v>0</v>
      </c>
      <c r="K7">
        <f>'P&amp;L Umbrella'!E7-'P&amp;L Umbrella'!I7-'P&amp;L Umbrella'!J7</f>
        <v>0</v>
      </c>
      <c r="L7">
        <f>'P&amp;L Umbrella'!E7*InvYield/4</f>
        <v>0</v>
      </c>
      <c r="M7">
        <f>'P&amp;L Umbrella'!K7+'P&amp;L Umbrella'!L7</f>
        <v>0</v>
      </c>
    </row>
    <row r="8">
      <c r="A8" t="str">
        <v>2026 Q3</v>
      </c>
      <c r="B8">
        <v>3801501</v>
      </c>
      <c r="C8">
        <f>'P&amp;L Umbrella'!B8*[reinsurance-model.xlsx]'Treaty Structure'!F2</f>
        <v>0</v>
      </c>
      <c r="D8">
        <f>'P&amp;L Umbrella'!B8-'P&amp;L Umbrella'!C8</f>
        <v>0</v>
      </c>
      <c r="E8">
        <f>'P&amp;L Umbrella'!D8*0.95</f>
        <v>0</v>
      </c>
      <c r="F8">
        <f>'P&amp;L Umbrella'!E8*[reserve-model.xlsx]'Reserve Summary'!C7/[reserve-model.xlsx]'Reserve Summary'!B7</f>
        <v>0</v>
      </c>
      <c r="G8">
        <f>'P&amp;L Umbrella'!F8*0.08</f>
        <v>0</v>
      </c>
      <c r="H8">
        <f>'P&amp;L Umbrella'!F8*0.05</f>
        <v>0</v>
      </c>
      <c r="I8">
        <f>'P&amp;L Umbrella'!F8+'P&amp;L Umbrella'!G8+'P&amp;L Umbrella'!H8</f>
        <v>0</v>
      </c>
      <c r="J8">
        <f>'P&amp;L Umbrella'!E8*0.27</f>
        <v>0</v>
      </c>
      <c r="K8">
        <f>'P&amp;L Umbrella'!E8-'P&amp;L Umbrella'!I8-'P&amp;L Umbrella'!J8</f>
        <v>0</v>
      </c>
      <c r="L8">
        <f>'P&amp;L Umbrella'!E8*InvYield/4</f>
        <v>0</v>
      </c>
      <c r="M8">
        <f>'P&amp;L Umbrella'!K8+'P&amp;L Umbrella'!L8</f>
        <v>0</v>
      </c>
    </row>
    <row r="9">
      <c r="A9" t="str">
        <v>2026 Q4</v>
      </c>
      <c r="B9">
        <v>4020051</v>
      </c>
      <c r="C9">
        <f>'P&amp;L Umbrella'!B9*[reinsurance-model.xlsx]'Treaty Structure'!F2</f>
        <v>0</v>
      </c>
      <c r="D9">
        <f>'P&amp;L Umbrella'!B9-'P&amp;L Umbrella'!C9</f>
        <v>0</v>
      </c>
      <c r="E9">
        <f>'P&amp;L Umbrella'!D9*0.95</f>
        <v>0</v>
      </c>
      <c r="F9">
        <f>'P&amp;L Umbrella'!E9*[reserve-model.xlsx]'Reserve Summary'!C7/[reserve-model.xlsx]'Reserve Summary'!B7</f>
        <v>0</v>
      </c>
      <c r="G9">
        <f>'P&amp;L Umbrella'!F9*0.08</f>
        <v>0</v>
      </c>
      <c r="H9">
        <f>'P&amp;L Umbrella'!F9*0.05</f>
        <v>0</v>
      </c>
      <c r="I9">
        <f>'P&amp;L Umbrella'!F9+'P&amp;L Umbrella'!G9+'P&amp;L Umbrella'!H9</f>
        <v>0</v>
      </c>
      <c r="J9">
        <f>'P&amp;L Umbrella'!E9*0.27</f>
        <v>0</v>
      </c>
      <c r="K9">
        <f>'P&amp;L Umbrella'!E9-'P&amp;L Umbrella'!I9-'P&amp;L Umbrella'!J9</f>
        <v>0</v>
      </c>
      <c r="L9">
        <f>'P&amp;L Umbrella'!E9*InvYield/4</f>
        <v>0</v>
      </c>
      <c r="M9">
        <f>'P&amp;L Umbrella'!K9+'P&amp;L Umbrella'!L9</f>
        <v>0</v>
      </c>
    </row>
    <row r="10">
      <c r="A10" t="str">
        <v>Annual Total</v>
      </c>
      <c r="B10">
        <f>SUM(B2:B9)</f>
        <v>0</v>
      </c>
      <c r="C10">
        <f>SUM(C2:C9)</f>
        <v>0</v>
      </c>
      <c r="D10">
        <f>SUM(D2:D9)</f>
        <v>0</v>
      </c>
      <c r="E10">
        <f>SUM(E2:E9)</f>
        <v>0</v>
      </c>
      <c r="F10">
        <f>SUM(F2:F9)</f>
        <v>0</v>
      </c>
      <c r="G10">
        <f>SUM(G2:G9)</f>
        <v>0</v>
      </c>
      <c r="H10">
        <f>SUM(H2:H9)</f>
        <v>0</v>
      </c>
      <c r="I10">
        <f>SUM(I2:I9)</f>
        <v>0</v>
      </c>
      <c r="J10">
        <f>SUM(J2:J9)</f>
        <v>0</v>
      </c>
      <c r="K10">
        <f>SUM(K2:K9)</f>
        <v>0</v>
      </c>
      <c r="L10">
        <f>SUM(L2:L9)</f>
        <v>0</v>
      </c>
      <c r="M10">
        <f>SUM(M2:M9)</f>
        <v>0</v>
      </c>
    </row>
  </sheetData>
  <ignoredErrors>
    <ignoredError numberStoredAsText="1" sqref="A1:M1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Quarter</v>
      </c>
      <c r="B1" t="str">
        <v>Gross WP</v>
      </c>
      <c r="C1" t="str">
        <v>Ceded WP</v>
      </c>
      <c r="D1" t="str">
        <v>Net WP</v>
      </c>
      <c r="E1" t="str">
        <v>Net EP</v>
      </c>
      <c r="F1" t="str">
        <v>Incurred Loss</v>
      </c>
      <c r="G1" t="str">
        <v>ALAE</v>
      </c>
      <c r="H1" t="str">
        <v>ULAE</v>
      </c>
      <c r="I1" t="str">
        <v>Net Loss</v>
      </c>
      <c r="J1" t="str">
        <v>UW Expense</v>
      </c>
      <c r="K1" t="str">
        <v>UW Income</v>
      </c>
      <c r="L1" t="str">
        <v>Inv Income</v>
      </c>
      <c r="M1" t="str">
        <v>Pre-Tax Income</v>
      </c>
    </row>
    <row r="2">
      <c r="A2" t="str">
        <v>2025 Q1</v>
      </c>
      <c r="B2">
        <v>3920650</v>
      </c>
      <c r="C2">
        <f>'P&amp;L Surety'!B2*[reinsurance-model.xlsx]'Treaty Structure'!F2</f>
        <v>0</v>
      </c>
      <c r="D2">
        <f>'P&amp;L Surety'!B2-'P&amp;L Surety'!C2</f>
        <v>0</v>
      </c>
      <c r="E2">
        <f>'P&amp;L Surety'!D2*0.95</f>
        <v>0</v>
      </c>
      <c r="F2">
        <f>'P&amp;L Surety'!E2*[reserve-model.xlsx]'Reserve Summary'!C8/[reserve-model.xlsx]'Reserve Summary'!B8</f>
        <v>0</v>
      </c>
      <c r="G2">
        <f>'P&amp;L Surety'!F2*0.08</f>
        <v>0</v>
      </c>
      <c r="H2">
        <f>'P&amp;L Surety'!F2*0.05</f>
        <v>0</v>
      </c>
      <c r="I2">
        <f>'P&amp;L Surety'!F2+'P&amp;L Surety'!G2+'P&amp;L Surety'!H2</f>
        <v>0</v>
      </c>
      <c r="J2">
        <f>'P&amp;L Surety'!E2*0.27</f>
        <v>0</v>
      </c>
      <c r="K2">
        <f>'P&amp;L Surety'!E2-'P&amp;L Surety'!I2-'P&amp;L Surety'!J2</f>
        <v>0</v>
      </c>
      <c r="L2">
        <f>'P&amp;L Surety'!E2*InvYield/4</f>
        <v>0</v>
      </c>
      <c r="M2">
        <f>'P&amp;L Surety'!K2+'P&amp;L Surety'!L2</f>
        <v>0</v>
      </c>
    </row>
    <row r="3">
      <c r="A3" t="str">
        <v>2025 Q2</v>
      </c>
      <c r="B3">
        <v>3880013</v>
      </c>
      <c r="C3">
        <f>'P&amp;L Surety'!B3*[reinsurance-model.xlsx]'Treaty Structure'!F2</f>
        <v>0</v>
      </c>
      <c r="D3">
        <f>'P&amp;L Surety'!B3-'P&amp;L Surety'!C3</f>
        <v>0</v>
      </c>
      <c r="E3">
        <f>'P&amp;L Surety'!D3*0.95</f>
        <v>0</v>
      </c>
      <c r="F3">
        <f>'P&amp;L Surety'!E3*[reserve-model.xlsx]'Reserve Summary'!C8/[reserve-model.xlsx]'Reserve Summary'!B8</f>
        <v>0</v>
      </c>
      <c r="G3">
        <f>'P&amp;L Surety'!F3*0.08</f>
        <v>0</v>
      </c>
      <c r="H3">
        <f>'P&amp;L Surety'!F3*0.05</f>
        <v>0</v>
      </c>
      <c r="I3">
        <f>'P&amp;L Surety'!F3+'P&amp;L Surety'!G3+'P&amp;L Surety'!H3</f>
        <v>0</v>
      </c>
      <c r="J3">
        <f>'P&amp;L Surety'!E3*0.27</f>
        <v>0</v>
      </c>
      <c r="K3">
        <f>'P&amp;L Surety'!E3-'P&amp;L Surety'!I3-'P&amp;L Surety'!J3</f>
        <v>0</v>
      </c>
      <c r="L3">
        <f>'P&amp;L Surety'!E3*InvYield/4</f>
        <v>0</v>
      </c>
      <c r="M3">
        <f>'P&amp;L Surety'!K3+'P&amp;L Surety'!L3</f>
        <v>0</v>
      </c>
    </row>
    <row r="4">
      <c r="A4" t="str">
        <v>2025 Q3</v>
      </c>
      <c r="B4">
        <v>3967468</v>
      </c>
      <c r="C4">
        <f>'P&amp;L Surety'!B4*[reinsurance-model.xlsx]'Treaty Structure'!F2</f>
        <v>0</v>
      </c>
      <c r="D4">
        <f>'P&amp;L Surety'!B4-'P&amp;L Surety'!C4</f>
        <v>0</v>
      </c>
      <c r="E4">
        <f>'P&amp;L Surety'!D4*0.95</f>
        <v>0</v>
      </c>
      <c r="F4">
        <f>'P&amp;L Surety'!E4*[reserve-model.xlsx]'Reserve Summary'!C8/[reserve-model.xlsx]'Reserve Summary'!B8</f>
        <v>0</v>
      </c>
      <c r="G4">
        <f>'P&amp;L Surety'!F4*0.08</f>
        <v>0</v>
      </c>
      <c r="H4">
        <f>'P&amp;L Surety'!F4*0.05</f>
        <v>0</v>
      </c>
      <c r="I4">
        <f>'P&amp;L Surety'!F4+'P&amp;L Surety'!G4+'P&amp;L Surety'!H4</f>
        <v>0</v>
      </c>
      <c r="J4">
        <f>'P&amp;L Surety'!E4*0.27</f>
        <v>0</v>
      </c>
      <c r="K4">
        <f>'P&amp;L Surety'!E4-'P&amp;L Surety'!I4-'P&amp;L Surety'!J4</f>
        <v>0</v>
      </c>
      <c r="L4">
        <f>'P&amp;L Surety'!E4*InvYield/4</f>
        <v>0</v>
      </c>
      <c r="M4">
        <f>'P&amp;L Surety'!K4+'P&amp;L Surety'!L4</f>
        <v>0</v>
      </c>
    </row>
    <row r="5">
      <c r="A5" t="str">
        <v>2025 Q4</v>
      </c>
      <c r="B5">
        <v>3994996</v>
      </c>
      <c r="C5">
        <f>'P&amp;L Surety'!B5*[reinsurance-model.xlsx]'Treaty Structure'!F2</f>
        <v>0</v>
      </c>
      <c r="D5">
        <f>'P&amp;L Surety'!B5-'P&amp;L Surety'!C5</f>
        <v>0</v>
      </c>
      <c r="E5">
        <f>'P&amp;L Surety'!D5*0.95</f>
        <v>0</v>
      </c>
      <c r="F5">
        <f>'P&amp;L Surety'!E5*[reserve-model.xlsx]'Reserve Summary'!C8/[reserve-model.xlsx]'Reserve Summary'!B8</f>
        <v>0</v>
      </c>
      <c r="G5">
        <f>'P&amp;L Surety'!F5*0.08</f>
        <v>0</v>
      </c>
      <c r="H5">
        <f>'P&amp;L Surety'!F5*0.05</f>
        <v>0</v>
      </c>
      <c r="I5">
        <f>'P&amp;L Surety'!F5+'P&amp;L Surety'!G5+'P&amp;L Surety'!H5</f>
        <v>0</v>
      </c>
      <c r="J5">
        <f>'P&amp;L Surety'!E5*0.27</f>
        <v>0</v>
      </c>
      <c r="K5">
        <f>'P&amp;L Surety'!E5-'P&amp;L Surety'!I5-'P&amp;L Surety'!J5</f>
        <v>0</v>
      </c>
      <c r="L5">
        <f>'P&amp;L Surety'!E5*InvYield/4</f>
        <v>0</v>
      </c>
      <c r="M5">
        <f>'P&amp;L Surety'!K5+'P&amp;L Surety'!L5</f>
        <v>0</v>
      </c>
    </row>
    <row r="6">
      <c r="A6" t="str">
        <v>2026 Q1</v>
      </c>
      <c r="B6">
        <v>4143326</v>
      </c>
      <c r="C6">
        <f>'P&amp;L Surety'!B6*[reinsurance-model.xlsx]'Treaty Structure'!F2</f>
        <v>0</v>
      </c>
      <c r="D6">
        <f>'P&amp;L Surety'!B6-'P&amp;L Surety'!C6</f>
        <v>0</v>
      </c>
      <c r="E6">
        <f>'P&amp;L Surety'!D6*0.95</f>
        <v>0</v>
      </c>
      <c r="F6">
        <f>'P&amp;L Surety'!E6*[reserve-model.xlsx]'Reserve Summary'!C8/[reserve-model.xlsx]'Reserve Summary'!B8</f>
        <v>0</v>
      </c>
      <c r="G6">
        <f>'P&amp;L Surety'!F6*0.08</f>
        <v>0</v>
      </c>
      <c r="H6">
        <f>'P&amp;L Surety'!F6*0.05</f>
        <v>0</v>
      </c>
      <c r="I6">
        <f>'P&amp;L Surety'!F6+'P&amp;L Surety'!G6+'P&amp;L Surety'!H6</f>
        <v>0</v>
      </c>
      <c r="J6">
        <f>'P&amp;L Surety'!E6*0.27</f>
        <v>0</v>
      </c>
      <c r="K6">
        <f>'P&amp;L Surety'!E6-'P&amp;L Surety'!I6-'P&amp;L Surety'!J6</f>
        <v>0</v>
      </c>
      <c r="L6">
        <f>'P&amp;L Surety'!E6*InvYield/4</f>
        <v>0</v>
      </c>
      <c r="M6">
        <f>'P&amp;L Surety'!K6+'P&amp;L Surety'!L6</f>
        <v>0</v>
      </c>
    </row>
    <row r="7">
      <c r="A7" t="str">
        <v>2026 Q2</v>
      </c>
      <c r="B7">
        <v>4211488</v>
      </c>
      <c r="C7">
        <f>'P&amp;L Surety'!B7*[reinsurance-model.xlsx]'Treaty Structure'!F2</f>
        <v>0</v>
      </c>
      <c r="D7">
        <f>'P&amp;L Surety'!B7-'P&amp;L Surety'!C7</f>
        <v>0</v>
      </c>
      <c r="E7">
        <f>'P&amp;L Surety'!D7*0.95</f>
        <v>0</v>
      </c>
      <c r="F7">
        <f>'P&amp;L Surety'!E7*[reserve-model.xlsx]'Reserve Summary'!C8/[reserve-model.xlsx]'Reserve Summary'!B8</f>
        <v>0</v>
      </c>
      <c r="G7">
        <f>'P&amp;L Surety'!F7*0.08</f>
        <v>0</v>
      </c>
      <c r="H7">
        <f>'P&amp;L Surety'!F7*0.05</f>
        <v>0</v>
      </c>
      <c r="I7">
        <f>'P&amp;L Surety'!F7+'P&amp;L Surety'!G7+'P&amp;L Surety'!H7</f>
        <v>0</v>
      </c>
      <c r="J7">
        <f>'P&amp;L Surety'!E7*0.27</f>
        <v>0</v>
      </c>
      <c r="K7">
        <f>'P&amp;L Surety'!E7-'P&amp;L Surety'!I7-'P&amp;L Surety'!J7</f>
        <v>0</v>
      </c>
      <c r="L7">
        <f>'P&amp;L Surety'!E7*InvYield/4</f>
        <v>0</v>
      </c>
      <c r="M7">
        <f>'P&amp;L Surety'!K7+'P&amp;L Surety'!L7</f>
        <v>0</v>
      </c>
    </row>
    <row r="8">
      <c r="A8" t="str">
        <v>2026 Q3</v>
      </c>
      <c r="B8">
        <v>4256823</v>
      </c>
      <c r="C8">
        <f>'P&amp;L Surety'!B8*[reinsurance-model.xlsx]'Treaty Structure'!F2</f>
        <v>0</v>
      </c>
      <c r="D8">
        <f>'P&amp;L Surety'!B8-'P&amp;L Surety'!C8</f>
        <v>0</v>
      </c>
      <c r="E8">
        <f>'P&amp;L Surety'!D8*0.95</f>
        <v>0</v>
      </c>
      <c r="F8">
        <f>'P&amp;L Surety'!E8*[reserve-model.xlsx]'Reserve Summary'!C8/[reserve-model.xlsx]'Reserve Summary'!B8</f>
        <v>0</v>
      </c>
      <c r="G8">
        <f>'P&amp;L Surety'!F8*0.08</f>
        <v>0</v>
      </c>
      <c r="H8">
        <f>'P&amp;L Surety'!F8*0.05</f>
        <v>0</v>
      </c>
      <c r="I8">
        <f>'P&amp;L Surety'!F8+'P&amp;L Surety'!G8+'P&amp;L Surety'!H8</f>
        <v>0</v>
      </c>
      <c r="J8">
        <f>'P&amp;L Surety'!E8*0.27</f>
        <v>0</v>
      </c>
      <c r="K8">
        <f>'P&amp;L Surety'!E8-'P&amp;L Surety'!I8-'P&amp;L Surety'!J8</f>
        <v>0</v>
      </c>
      <c r="L8">
        <f>'P&amp;L Surety'!E8*InvYield/4</f>
        <v>0</v>
      </c>
      <c r="M8">
        <f>'P&amp;L Surety'!K8+'P&amp;L Surety'!L8</f>
        <v>0</v>
      </c>
    </row>
    <row r="9">
      <c r="A9" t="str">
        <v>2026 Q4</v>
      </c>
      <c r="B9">
        <v>4267040</v>
      </c>
      <c r="C9">
        <f>'P&amp;L Surety'!B9*[reinsurance-model.xlsx]'Treaty Structure'!F2</f>
        <v>0</v>
      </c>
      <c r="D9">
        <f>'P&amp;L Surety'!B9-'P&amp;L Surety'!C9</f>
        <v>0</v>
      </c>
      <c r="E9">
        <f>'P&amp;L Surety'!D9*0.95</f>
        <v>0</v>
      </c>
      <c r="F9">
        <f>'P&amp;L Surety'!E9*[reserve-model.xlsx]'Reserve Summary'!C8/[reserve-model.xlsx]'Reserve Summary'!B8</f>
        <v>0</v>
      </c>
      <c r="G9">
        <f>'P&amp;L Surety'!F9*0.08</f>
        <v>0</v>
      </c>
      <c r="H9">
        <f>'P&amp;L Surety'!F9*0.05</f>
        <v>0</v>
      </c>
      <c r="I9">
        <f>'P&amp;L Surety'!F9+'P&amp;L Surety'!G9+'P&amp;L Surety'!H9</f>
        <v>0</v>
      </c>
      <c r="J9">
        <f>'P&amp;L Surety'!E9*0.27</f>
        <v>0</v>
      </c>
      <c r="K9">
        <f>'P&amp;L Surety'!E9-'P&amp;L Surety'!I9-'P&amp;L Surety'!J9</f>
        <v>0</v>
      </c>
      <c r="L9">
        <f>'P&amp;L Surety'!E9*InvYield/4</f>
        <v>0</v>
      </c>
      <c r="M9">
        <f>'P&amp;L Surety'!K9+'P&amp;L Surety'!L9</f>
        <v>0</v>
      </c>
    </row>
    <row r="10">
      <c r="A10" t="str">
        <v>Annual Total</v>
      </c>
      <c r="B10">
        <f>SUM(B2:B9)</f>
        <v>0</v>
      </c>
      <c r="C10">
        <f>SUM(C2:C9)</f>
        <v>0</v>
      </c>
      <c r="D10">
        <f>SUM(D2:D9)</f>
        <v>0</v>
      </c>
      <c r="E10">
        <f>SUM(E2:E9)</f>
        <v>0</v>
      </c>
      <c r="F10">
        <f>SUM(F2:F9)</f>
        <v>0</v>
      </c>
      <c r="G10">
        <f>SUM(G2:G9)</f>
        <v>0</v>
      </c>
      <c r="H10">
        <f>SUM(H2:H9)</f>
        <v>0</v>
      </c>
      <c r="I10">
        <f>SUM(I2:I9)</f>
        <v>0</v>
      </c>
      <c r="J10">
        <f>SUM(J2:J9)</f>
        <v>0</v>
      </c>
      <c r="K10">
        <f>SUM(K2:K9)</f>
        <v>0</v>
      </c>
      <c r="L10">
        <f>SUM(L2:L9)</f>
        <v>0</v>
      </c>
      <c r="M10">
        <f>SUM(M2:M9)</f>
        <v>0</v>
      </c>
    </row>
  </sheetData>
  <ignoredErrors>
    <ignoredError numberStoredAsText="1" sqref="A1:M1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Quarter</v>
      </c>
      <c r="B1" t="str">
        <v>Gross WP</v>
      </c>
      <c r="C1" t="str">
        <v>Ceded WP</v>
      </c>
      <c r="D1" t="str">
        <v>Net WP</v>
      </c>
      <c r="E1" t="str">
        <v>Net EP</v>
      </c>
      <c r="F1" t="str">
        <v>Incurred Loss</v>
      </c>
      <c r="G1" t="str">
        <v>ALAE</v>
      </c>
      <c r="H1" t="str">
        <v>ULAE</v>
      </c>
      <c r="I1" t="str">
        <v>Net Loss</v>
      </c>
      <c r="J1" t="str">
        <v>UW Expense</v>
      </c>
      <c r="K1" t="str">
        <v>UW Income</v>
      </c>
      <c r="L1" t="str">
        <v>Inv Income</v>
      </c>
      <c r="M1" t="str">
        <v>Pre-Tax Income</v>
      </c>
    </row>
    <row r="2">
      <c r="A2" t="str">
        <v>2025 Q1</v>
      </c>
      <c r="B2">
        <v>4120907</v>
      </c>
      <c r="C2">
        <f>'P&amp;L Marine'!B2*[reinsurance-model.xlsx]'Treaty Structure'!F2</f>
        <v>0</v>
      </c>
      <c r="D2">
        <f>'P&amp;L Marine'!B2-'P&amp;L Marine'!C2</f>
        <v>0</v>
      </c>
      <c r="E2">
        <f>'P&amp;L Marine'!D2*0.95</f>
        <v>0</v>
      </c>
      <c r="F2">
        <f>'P&amp;L Marine'!E2*[reserve-model.xlsx]'Reserve Summary'!C9/[reserve-model.xlsx]'Reserve Summary'!B9</f>
        <v>0</v>
      </c>
      <c r="G2">
        <f>'P&amp;L Marine'!F2*0.08</f>
        <v>0</v>
      </c>
      <c r="H2">
        <f>'P&amp;L Marine'!F2*0.05</f>
        <v>0</v>
      </c>
      <c r="I2">
        <f>'P&amp;L Marine'!F2+'P&amp;L Marine'!G2+'P&amp;L Marine'!H2</f>
        <v>0</v>
      </c>
      <c r="J2">
        <f>'P&amp;L Marine'!E2*0.27</f>
        <v>0</v>
      </c>
      <c r="K2">
        <f>'P&amp;L Marine'!E2-'P&amp;L Marine'!I2-'P&amp;L Marine'!J2</f>
        <v>0</v>
      </c>
      <c r="L2">
        <f>'P&amp;L Marine'!E2*InvYield/4</f>
        <v>0</v>
      </c>
      <c r="M2">
        <f>'P&amp;L Marine'!K2+'P&amp;L Marine'!L2</f>
        <v>0</v>
      </c>
    </row>
    <row r="3">
      <c r="A3" t="str">
        <v>2025 Q2</v>
      </c>
      <c r="B3">
        <v>4193996</v>
      </c>
      <c r="C3">
        <f>'P&amp;L Marine'!B3*[reinsurance-model.xlsx]'Treaty Structure'!F2</f>
        <v>0</v>
      </c>
      <c r="D3">
        <f>'P&amp;L Marine'!B3-'P&amp;L Marine'!C3</f>
        <v>0</v>
      </c>
      <c r="E3">
        <f>'P&amp;L Marine'!D3*0.95</f>
        <v>0</v>
      </c>
      <c r="F3">
        <f>'P&amp;L Marine'!E3*[reserve-model.xlsx]'Reserve Summary'!C9/[reserve-model.xlsx]'Reserve Summary'!B9</f>
        <v>0</v>
      </c>
      <c r="G3">
        <f>'P&amp;L Marine'!F3*0.08</f>
        <v>0</v>
      </c>
      <c r="H3">
        <f>'P&amp;L Marine'!F3*0.05</f>
        <v>0</v>
      </c>
      <c r="I3">
        <f>'P&amp;L Marine'!F3+'P&amp;L Marine'!G3+'P&amp;L Marine'!H3</f>
        <v>0</v>
      </c>
      <c r="J3">
        <f>'P&amp;L Marine'!E3*0.27</f>
        <v>0</v>
      </c>
      <c r="K3">
        <f>'P&amp;L Marine'!E3-'P&amp;L Marine'!I3-'P&amp;L Marine'!J3</f>
        <v>0</v>
      </c>
      <c r="L3">
        <f>'P&amp;L Marine'!E3*InvYield/4</f>
        <v>0</v>
      </c>
      <c r="M3">
        <f>'P&amp;L Marine'!K3+'P&amp;L Marine'!L3</f>
        <v>0</v>
      </c>
    </row>
    <row r="4">
      <c r="A4" t="str">
        <v>2025 Q3</v>
      </c>
      <c r="B4">
        <v>4389420</v>
      </c>
      <c r="C4">
        <f>'P&amp;L Marine'!B4*[reinsurance-model.xlsx]'Treaty Structure'!F2</f>
        <v>0</v>
      </c>
      <c r="D4">
        <f>'P&amp;L Marine'!B4-'P&amp;L Marine'!C4</f>
        <v>0</v>
      </c>
      <c r="E4">
        <f>'P&amp;L Marine'!D4*0.95</f>
        <v>0</v>
      </c>
      <c r="F4">
        <f>'P&amp;L Marine'!E4*[reserve-model.xlsx]'Reserve Summary'!C9/[reserve-model.xlsx]'Reserve Summary'!B9</f>
        <v>0</v>
      </c>
      <c r="G4">
        <f>'P&amp;L Marine'!F4*0.08</f>
        <v>0</v>
      </c>
      <c r="H4">
        <f>'P&amp;L Marine'!F4*0.05</f>
        <v>0</v>
      </c>
      <c r="I4">
        <f>'P&amp;L Marine'!F4+'P&amp;L Marine'!G4+'P&amp;L Marine'!H4</f>
        <v>0</v>
      </c>
      <c r="J4">
        <f>'P&amp;L Marine'!E4*0.27</f>
        <v>0</v>
      </c>
      <c r="K4">
        <f>'P&amp;L Marine'!E4-'P&amp;L Marine'!I4-'P&amp;L Marine'!J4</f>
        <v>0</v>
      </c>
      <c r="L4">
        <f>'P&amp;L Marine'!E4*InvYield/4</f>
        <v>0</v>
      </c>
      <c r="M4">
        <f>'P&amp;L Marine'!K4+'P&amp;L Marine'!L4</f>
        <v>0</v>
      </c>
    </row>
    <row r="5">
      <c r="A5" t="str">
        <v>2025 Q4</v>
      </c>
      <c r="B5">
        <v>4276243</v>
      </c>
      <c r="C5">
        <f>'P&amp;L Marine'!B5*[reinsurance-model.xlsx]'Treaty Structure'!F2</f>
        <v>0</v>
      </c>
      <c r="D5">
        <f>'P&amp;L Marine'!B5-'P&amp;L Marine'!C5</f>
        <v>0</v>
      </c>
      <c r="E5">
        <f>'P&amp;L Marine'!D5*0.95</f>
        <v>0</v>
      </c>
      <c r="F5">
        <f>'P&amp;L Marine'!E5*[reserve-model.xlsx]'Reserve Summary'!C9/[reserve-model.xlsx]'Reserve Summary'!B9</f>
        <v>0</v>
      </c>
      <c r="G5">
        <f>'P&amp;L Marine'!F5*0.08</f>
        <v>0</v>
      </c>
      <c r="H5">
        <f>'P&amp;L Marine'!F5*0.05</f>
        <v>0</v>
      </c>
      <c r="I5">
        <f>'P&amp;L Marine'!F5+'P&amp;L Marine'!G5+'P&amp;L Marine'!H5</f>
        <v>0</v>
      </c>
      <c r="J5">
        <f>'P&amp;L Marine'!E5*0.27</f>
        <v>0</v>
      </c>
      <c r="K5">
        <f>'P&amp;L Marine'!E5-'P&amp;L Marine'!I5-'P&amp;L Marine'!J5</f>
        <v>0</v>
      </c>
      <c r="L5">
        <f>'P&amp;L Marine'!E5*InvYield/4</f>
        <v>0</v>
      </c>
      <c r="M5">
        <f>'P&amp;L Marine'!K5+'P&amp;L Marine'!L5</f>
        <v>0</v>
      </c>
    </row>
    <row r="6">
      <c r="A6" t="str">
        <v>2026 Q1</v>
      </c>
      <c r="B6">
        <v>4458728</v>
      </c>
      <c r="C6">
        <f>'P&amp;L Marine'!B6*[reinsurance-model.xlsx]'Treaty Structure'!F2</f>
        <v>0</v>
      </c>
      <c r="D6">
        <f>'P&amp;L Marine'!B6-'P&amp;L Marine'!C6</f>
        <v>0</v>
      </c>
      <c r="E6">
        <f>'P&amp;L Marine'!D6*0.95</f>
        <v>0</v>
      </c>
      <c r="F6">
        <f>'P&amp;L Marine'!E6*[reserve-model.xlsx]'Reserve Summary'!C9/[reserve-model.xlsx]'Reserve Summary'!B9</f>
        <v>0</v>
      </c>
      <c r="G6">
        <f>'P&amp;L Marine'!F6*0.08</f>
        <v>0</v>
      </c>
      <c r="H6">
        <f>'P&amp;L Marine'!F6*0.05</f>
        <v>0</v>
      </c>
      <c r="I6">
        <f>'P&amp;L Marine'!F6+'P&amp;L Marine'!G6+'P&amp;L Marine'!H6</f>
        <v>0</v>
      </c>
      <c r="J6">
        <f>'P&amp;L Marine'!E6*0.27</f>
        <v>0</v>
      </c>
      <c r="K6">
        <f>'P&amp;L Marine'!E6-'P&amp;L Marine'!I6-'P&amp;L Marine'!J6</f>
        <v>0</v>
      </c>
      <c r="L6">
        <f>'P&amp;L Marine'!E6*InvYield/4</f>
        <v>0</v>
      </c>
      <c r="M6">
        <f>'P&amp;L Marine'!K6+'P&amp;L Marine'!L6</f>
        <v>0</v>
      </c>
    </row>
    <row r="7">
      <c r="A7" t="str">
        <v>2026 Q2</v>
      </c>
      <c r="B7">
        <v>4353006</v>
      </c>
      <c r="C7">
        <f>'P&amp;L Marine'!B7*[reinsurance-model.xlsx]'Treaty Structure'!F2</f>
        <v>0</v>
      </c>
      <c r="D7">
        <f>'P&amp;L Marine'!B7-'P&amp;L Marine'!C7</f>
        <v>0</v>
      </c>
      <c r="E7">
        <f>'P&amp;L Marine'!D7*0.95</f>
        <v>0</v>
      </c>
      <c r="F7">
        <f>'P&amp;L Marine'!E7*[reserve-model.xlsx]'Reserve Summary'!C9/[reserve-model.xlsx]'Reserve Summary'!B9</f>
        <v>0</v>
      </c>
      <c r="G7">
        <f>'P&amp;L Marine'!F7*0.08</f>
        <v>0</v>
      </c>
      <c r="H7">
        <f>'P&amp;L Marine'!F7*0.05</f>
        <v>0</v>
      </c>
      <c r="I7">
        <f>'P&amp;L Marine'!F7+'P&amp;L Marine'!G7+'P&amp;L Marine'!H7</f>
        <v>0</v>
      </c>
      <c r="J7">
        <f>'P&amp;L Marine'!E7*0.27</f>
        <v>0</v>
      </c>
      <c r="K7">
        <f>'P&amp;L Marine'!E7-'P&amp;L Marine'!I7-'P&amp;L Marine'!J7</f>
        <v>0</v>
      </c>
      <c r="L7">
        <f>'P&amp;L Marine'!E7*InvYield/4</f>
        <v>0</v>
      </c>
      <c r="M7">
        <f>'P&amp;L Marine'!K7+'P&amp;L Marine'!L7</f>
        <v>0</v>
      </c>
    </row>
    <row r="8">
      <c r="A8" t="str">
        <v>2026 Q3</v>
      </c>
      <c r="B8">
        <v>4443323</v>
      </c>
      <c r="C8">
        <f>'P&amp;L Marine'!B8*[reinsurance-model.xlsx]'Treaty Structure'!F2</f>
        <v>0</v>
      </c>
      <c r="D8">
        <f>'P&amp;L Marine'!B8-'P&amp;L Marine'!C8</f>
        <v>0</v>
      </c>
      <c r="E8">
        <f>'P&amp;L Marine'!D8*0.95</f>
        <v>0</v>
      </c>
      <c r="F8">
        <f>'P&amp;L Marine'!E8*[reserve-model.xlsx]'Reserve Summary'!C9/[reserve-model.xlsx]'Reserve Summary'!B9</f>
        <v>0</v>
      </c>
      <c r="G8">
        <f>'P&amp;L Marine'!F8*0.08</f>
        <v>0</v>
      </c>
      <c r="H8">
        <f>'P&amp;L Marine'!F8*0.05</f>
        <v>0</v>
      </c>
      <c r="I8">
        <f>'P&amp;L Marine'!F8+'P&amp;L Marine'!G8+'P&amp;L Marine'!H8</f>
        <v>0</v>
      </c>
      <c r="J8">
        <f>'P&amp;L Marine'!E8*0.27</f>
        <v>0</v>
      </c>
      <c r="K8">
        <f>'P&amp;L Marine'!E8-'P&amp;L Marine'!I8-'P&amp;L Marine'!J8</f>
        <v>0</v>
      </c>
      <c r="L8">
        <f>'P&amp;L Marine'!E8*InvYield/4</f>
        <v>0</v>
      </c>
      <c r="M8">
        <f>'P&amp;L Marine'!K8+'P&amp;L Marine'!L8</f>
        <v>0</v>
      </c>
    </row>
    <row r="9">
      <c r="A9" t="str">
        <v>2026 Q4</v>
      </c>
      <c r="B9">
        <v>4597349</v>
      </c>
      <c r="C9">
        <f>'P&amp;L Marine'!B9*[reinsurance-model.xlsx]'Treaty Structure'!F2</f>
        <v>0</v>
      </c>
      <c r="D9">
        <f>'P&amp;L Marine'!B9-'P&amp;L Marine'!C9</f>
        <v>0</v>
      </c>
      <c r="E9">
        <f>'P&amp;L Marine'!D9*0.95</f>
        <v>0</v>
      </c>
      <c r="F9">
        <f>'P&amp;L Marine'!E9*[reserve-model.xlsx]'Reserve Summary'!C9/[reserve-model.xlsx]'Reserve Summary'!B9</f>
        <v>0</v>
      </c>
      <c r="G9">
        <f>'P&amp;L Marine'!F9*0.08</f>
        <v>0</v>
      </c>
      <c r="H9">
        <f>'P&amp;L Marine'!F9*0.05</f>
        <v>0</v>
      </c>
      <c r="I9">
        <f>'P&amp;L Marine'!F9+'P&amp;L Marine'!G9+'P&amp;L Marine'!H9</f>
        <v>0</v>
      </c>
      <c r="J9">
        <f>'P&amp;L Marine'!E9*0.27</f>
        <v>0</v>
      </c>
      <c r="K9">
        <f>'P&amp;L Marine'!E9-'P&amp;L Marine'!I9-'P&amp;L Marine'!J9</f>
        <v>0</v>
      </c>
      <c r="L9">
        <f>'P&amp;L Marine'!E9*InvYield/4</f>
        <v>0</v>
      </c>
      <c r="M9">
        <f>'P&amp;L Marine'!K9+'P&amp;L Marine'!L9</f>
        <v>0</v>
      </c>
    </row>
    <row r="10">
      <c r="A10" t="str">
        <v>Annual Total</v>
      </c>
      <c r="B10">
        <f>SUM(B2:B9)</f>
        <v>0</v>
      </c>
      <c r="C10">
        <f>SUM(C2:C9)</f>
        <v>0</v>
      </c>
      <c r="D10">
        <f>SUM(D2:D9)</f>
        <v>0</v>
      </c>
      <c r="E10">
        <f>SUM(E2:E9)</f>
        <v>0</v>
      </c>
      <c r="F10">
        <f>SUM(F2:F9)</f>
        <v>0</v>
      </c>
      <c r="G10">
        <f>SUM(G2:G9)</f>
        <v>0</v>
      </c>
      <c r="H10">
        <f>SUM(H2:H9)</f>
        <v>0</v>
      </c>
      <c r="I10">
        <f>SUM(I2:I9)</f>
        <v>0</v>
      </c>
      <c r="J10">
        <f>SUM(J2:J9)</f>
        <v>0</v>
      </c>
      <c r="K10">
        <f>SUM(K2:K9)</f>
        <v>0</v>
      </c>
      <c r="L10">
        <f>SUM(L2:L9)</f>
        <v>0</v>
      </c>
      <c r="M10">
        <f>SUM(M2:M9)</f>
        <v>0</v>
      </c>
    </row>
  </sheetData>
  <ignoredErrors>
    <ignoredError numberStoredAsText="1" sqref="A1:M1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Data>
    <row r="1">
      <c r="A1" t="str">
        <v>Line Item</v>
      </c>
      <c r="B1" t="str">
        <v>2025 Q1</v>
      </c>
      <c r="C1" t="str">
        <v>2025 Q2</v>
      </c>
      <c r="D1" t="str">
        <v>2025 Q3</v>
      </c>
      <c r="E1" t="str">
        <v>2025 Q4</v>
      </c>
      <c r="F1" t="str">
        <v>2026 Q1</v>
      </c>
      <c r="G1" t="str">
        <v>2026 Q2</v>
      </c>
      <c r="H1" t="str">
        <v>2026 Q3</v>
      </c>
      <c r="I1" t="str">
        <v>2026 Q4</v>
      </c>
      <c r="J1" t="str">
        <v>Total</v>
      </c>
    </row>
    <row r="2">
      <c r="A2" t="str">
        <v>Gross WP</v>
      </c>
      <c r="B2">
        <f>'P&amp;L Auto'!B2+'P&amp;L GL'!B2+'P&amp;L WC'!B2+'P&amp;L Property'!B2+'P&amp;L Professional'!B2+'P&amp;L Umbrella'!B2+'P&amp;L Surety'!B2+'P&amp;L Marine'!B2</f>
        <v>0</v>
      </c>
      <c r="C2">
        <f>'P&amp;L Auto'!B3+'P&amp;L GL'!B3+'P&amp;L WC'!B3+'P&amp;L Property'!B3+'P&amp;L Professional'!B3+'P&amp;L Umbrella'!B3+'P&amp;L Surety'!B3+'P&amp;L Marine'!B3</f>
        <v>0</v>
      </c>
      <c r="D2">
        <f>'P&amp;L Auto'!B4+'P&amp;L GL'!B4+'P&amp;L WC'!B4+'P&amp;L Property'!B4+'P&amp;L Professional'!B4+'P&amp;L Umbrella'!B4+'P&amp;L Surety'!B4+'P&amp;L Marine'!B4</f>
        <v>0</v>
      </c>
      <c r="E2">
        <f>'P&amp;L Auto'!B5+'P&amp;L GL'!B5+'P&amp;L WC'!B5+'P&amp;L Property'!B5+'P&amp;L Professional'!B5+'P&amp;L Umbrella'!B5+'P&amp;L Surety'!B5+'P&amp;L Marine'!B5</f>
        <v>0</v>
      </c>
      <c r="F2">
        <f>'P&amp;L Auto'!B6+'P&amp;L GL'!B6+'P&amp;L WC'!B6+'P&amp;L Property'!B6+'P&amp;L Professional'!B6+'P&amp;L Umbrella'!B6+'P&amp;L Surety'!B6+'P&amp;L Marine'!B6</f>
        <v>0</v>
      </c>
      <c r="G2">
        <f>'P&amp;L Auto'!B7+'P&amp;L GL'!B7+'P&amp;L WC'!B7+'P&amp;L Property'!B7+'P&amp;L Professional'!B7+'P&amp;L Umbrella'!B7+'P&amp;L Surety'!B7+'P&amp;L Marine'!B7</f>
        <v>0</v>
      </c>
      <c r="H2">
        <f>'P&amp;L Auto'!B8+'P&amp;L GL'!B8+'P&amp;L WC'!B8+'P&amp;L Property'!B8+'P&amp;L Professional'!B8+'P&amp;L Umbrella'!B8+'P&amp;L Surety'!B8+'P&amp;L Marine'!B8</f>
        <v>0</v>
      </c>
      <c r="I2">
        <f>'P&amp;L Auto'!B9+'P&amp;L GL'!B9+'P&amp;L WC'!B9+'P&amp;L Property'!B9+'P&amp;L Professional'!B9+'P&amp;L Umbrella'!B9+'P&amp;L Surety'!B9+'P&amp;L Marine'!B9</f>
        <v>0</v>
      </c>
      <c r="J2">
        <f>SUM(B2:I2)</f>
        <v>0</v>
      </c>
    </row>
    <row r="3">
      <c r="A3" t="str">
        <v>Ceded WP</v>
      </c>
      <c r="B3">
        <f>'P&amp;L Auto'!C2+'P&amp;L GL'!C2+'P&amp;L WC'!C2+'P&amp;L Property'!C2+'P&amp;L Professional'!C2+'P&amp;L Umbrella'!C2+'P&amp;L Surety'!C2+'P&amp;L Marine'!C2</f>
        <v>0</v>
      </c>
      <c r="C3">
        <f>'P&amp;L Auto'!C3+'P&amp;L GL'!C3+'P&amp;L WC'!C3+'P&amp;L Property'!C3+'P&amp;L Professional'!C3+'P&amp;L Umbrella'!C3+'P&amp;L Surety'!C3+'P&amp;L Marine'!C3</f>
        <v>0</v>
      </c>
      <c r="D3">
        <f>'P&amp;L Auto'!C4+'P&amp;L GL'!C4+'P&amp;L WC'!C4+'P&amp;L Property'!C4+'P&amp;L Professional'!C4+'P&amp;L Umbrella'!C4+'P&amp;L Surety'!C4+'P&amp;L Marine'!C4</f>
        <v>0</v>
      </c>
      <c r="E3">
        <f>'P&amp;L Auto'!C5+'P&amp;L GL'!C5+'P&amp;L WC'!C5+'P&amp;L Property'!C5+'P&amp;L Professional'!C5+'P&amp;L Umbrella'!C5+'P&amp;L Surety'!C5+'P&amp;L Marine'!C5</f>
        <v>0</v>
      </c>
      <c r="F3">
        <f>'P&amp;L Auto'!C6+'P&amp;L GL'!C6+'P&amp;L WC'!C6+'P&amp;L Property'!C6+'P&amp;L Professional'!C6+'P&amp;L Umbrella'!C6+'P&amp;L Surety'!C6+'P&amp;L Marine'!C6</f>
        <v>0</v>
      </c>
      <c r="G3">
        <f>'P&amp;L Auto'!C7+'P&amp;L GL'!C7+'P&amp;L WC'!C7+'P&amp;L Property'!C7+'P&amp;L Professional'!C7+'P&amp;L Umbrella'!C7+'P&amp;L Surety'!C7+'P&amp;L Marine'!C7</f>
        <v>0</v>
      </c>
      <c r="H3">
        <f>'P&amp;L Auto'!C8+'P&amp;L GL'!C8+'P&amp;L WC'!C8+'P&amp;L Property'!C8+'P&amp;L Professional'!C8+'P&amp;L Umbrella'!C8+'P&amp;L Surety'!C8+'P&amp;L Marine'!C8</f>
        <v>0</v>
      </c>
      <c r="I3">
        <f>'P&amp;L Auto'!C9+'P&amp;L GL'!C9+'P&amp;L WC'!C9+'P&amp;L Property'!C9+'P&amp;L Professional'!C9+'P&amp;L Umbrella'!C9+'P&amp;L Surety'!C9+'P&amp;L Marine'!C9</f>
        <v>0</v>
      </c>
      <c r="J3">
        <f>SUM(B3:I3)</f>
        <v>0</v>
      </c>
    </row>
    <row r="4">
      <c r="A4" t="str">
        <v>Net WP</v>
      </c>
      <c r="B4">
        <f>'P&amp;L Auto'!D2+'P&amp;L GL'!D2+'P&amp;L WC'!D2+'P&amp;L Property'!D2+'P&amp;L Professional'!D2+'P&amp;L Umbrella'!D2+'P&amp;L Surety'!D2+'P&amp;L Marine'!D2</f>
        <v>0</v>
      </c>
      <c r="C4">
        <f>'P&amp;L Auto'!D3+'P&amp;L GL'!D3+'P&amp;L WC'!D3+'P&amp;L Property'!D3+'P&amp;L Professional'!D3+'P&amp;L Umbrella'!D3+'P&amp;L Surety'!D3+'P&amp;L Marine'!D3</f>
        <v>0</v>
      </c>
      <c r="D4">
        <f>'P&amp;L Auto'!D4+'P&amp;L GL'!D4+'P&amp;L WC'!D4+'P&amp;L Property'!D4+'P&amp;L Professional'!D4+'P&amp;L Umbrella'!D4+'P&amp;L Surety'!D4+'P&amp;L Marine'!D4</f>
        <v>0</v>
      </c>
      <c r="E4">
        <f>'P&amp;L Auto'!D5+'P&amp;L GL'!D5+'P&amp;L WC'!D5+'P&amp;L Property'!D5+'P&amp;L Professional'!D5+'P&amp;L Umbrella'!D5+'P&amp;L Surety'!D5+'P&amp;L Marine'!D5</f>
        <v>0</v>
      </c>
      <c r="F4">
        <f>'P&amp;L Auto'!D6+'P&amp;L GL'!D6+'P&amp;L WC'!D6+'P&amp;L Property'!D6+'P&amp;L Professional'!D6+'P&amp;L Umbrella'!D6+'P&amp;L Surety'!D6+'P&amp;L Marine'!D6</f>
        <v>0</v>
      </c>
      <c r="G4">
        <f>'P&amp;L Auto'!D7+'P&amp;L GL'!D7+'P&amp;L WC'!D7+'P&amp;L Property'!D7+'P&amp;L Professional'!D7+'P&amp;L Umbrella'!D7+'P&amp;L Surety'!D7+'P&amp;L Marine'!D7</f>
        <v>0</v>
      </c>
      <c r="H4">
        <f>'P&amp;L Auto'!D8+'P&amp;L GL'!D8+'P&amp;L WC'!D8+'P&amp;L Property'!D8+'P&amp;L Professional'!D8+'P&amp;L Umbrella'!D8+'P&amp;L Surety'!D8+'P&amp;L Marine'!D8</f>
        <v>0</v>
      </c>
      <c r="I4">
        <f>'P&amp;L Auto'!D9+'P&amp;L GL'!D9+'P&amp;L WC'!D9+'P&amp;L Property'!D9+'P&amp;L Professional'!D9+'P&amp;L Umbrella'!D9+'P&amp;L Surety'!D9+'P&amp;L Marine'!D9</f>
        <v>0</v>
      </c>
      <c r="J4">
        <f>SUM(B4:I4)</f>
        <v>0</v>
      </c>
    </row>
    <row r="5">
      <c r="A5" t="str">
        <v>Net EP</v>
      </c>
      <c r="B5">
        <f>'P&amp;L Auto'!E2+'P&amp;L GL'!E2+'P&amp;L WC'!E2+'P&amp;L Property'!E2+'P&amp;L Professional'!E2+'P&amp;L Umbrella'!E2+'P&amp;L Surety'!E2+'P&amp;L Marine'!E2</f>
        <v>0</v>
      </c>
      <c r="C5">
        <f>'P&amp;L Auto'!E3+'P&amp;L GL'!E3+'P&amp;L WC'!E3+'P&amp;L Property'!E3+'P&amp;L Professional'!E3+'P&amp;L Umbrella'!E3+'P&amp;L Surety'!E3+'P&amp;L Marine'!E3</f>
        <v>0</v>
      </c>
      <c r="D5">
        <f>'P&amp;L Auto'!E4+'P&amp;L GL'!E4+'P&amp;L WC'!E4+'P&amp;L Property'!E4+'P&amp;L Professional'!E4+'P&amp;L Umbrella'!E4+'P&amp;L Surety'!E4+'P&amp;L Marine'!E4</f>
        <v>0</v>
      </c>
      <c r="E5">
        <f>'P&amp;L Auto'!E5+'P&amp;L GL'!E5+'P&amp;L WC'!E5+'P&amp;L Property'!E5+'P&amp;L Professional'!E5+'P&amp;L Umbrella'!E5+'P&amp;L Surety'!E5+'P&amp;L Marine'!E5</f>
        <v>0</v>
      </c>
      <c r="F5">
        <f>'P&amp;L Auto'!E6+'P&amp;L GL'!E6+'P&amp;L WC'!E6+'P&amp;L Property'!E6+'P&amp;L Professional'!E6+'P&amp;L Umbrella'!E6+'P&amp;L Surety'!E6+'P&amp;L Marine'!E6</f>
        <v>0</v>
      </c>
      <c r="G5">
        <f>'P&amp;L Auto'!E7+'P&amp;L GL'!E7+'P&amp;L WC'!E7+'P&amp;L Property'!E7+'P&amp;L Professional'!E7+'P&amp;L Umbrella'!E7+'P&amp;L Surety'!E7+'P&amp;L Marine'!E7</f>
        <v>0</v>
      </c>
      <c r="H5">
        <f>'P&amp;L Auto'!E8+'P&amp;L GL'!E8+'P&amp;L WC'!E8+'P&amp;L Property'!E8+'P&amp;L Professional'!E8+'P&amp;L Umbrella'!E8+'P&amp;L Surety'!E8+'P&amp;L Marine'!E8</f>
        <v>0</v>
      </c>
      <c r="I5">
        <f>'P&amp;L Auto'!E9+'P&amp;L GL'!E9+'P&amp;L WC'!E9+'P&amp;L Property'!E9+'P&amp;L Professional'!E9+'P&amp;L Umbrella'!E9+'P&amp;L Surety'!E9+'P&amp;L Marine'!E9</f>
        <v>0</v>
      </c>
      <c r="J5">
        <f>SUM(B5:I5)</f>
        <v>0</v>
      </c>
    </row>
    <row r="6">
      <c r="A6" t="str">
        <v>Net Loss</v>
      </c>
      <c r="B6">
        <f>'P&amp;L Auto'!I2+'P&amp;L GL'!I2+'P&amp;L WC'!I2+'P&amp;L Property'!I2+'P&amp;L Professional'!I2+'P&amp;L Umbrella'!I2+'P&amp;L Surety'!I2+'P&amp;L Marine'!I2</f>
        <v>0</v>
      </c>
      <c r="C6">
        <f>'P&amp;L Auto'!I3+'P&amp;L GL'!I3+'P&amp;L WC'!I3+'P&amp;L Property'!I3+'P&amp;L Professional'!I3+'P&amp;L Umbrella'!I3+'P&amp;L Surety'!I3+'P&amp;L Marine'!I3</f>
        <v>0</v>
      </c>
      <c r="D6">
        <f>'P&amp;L Auto'!I4+'P&amp;L GL'!I4+'P&amp;L WC'!I4+'P&amp;L Property'!I4+'P&amp;L Professional'!I4+'P&amp;L Umbrella'!I4+'P&amp;L Surety'!I4+'P&amp;L Marine'!I4</f>
        <v>0</v>
      </c>
      <c r="E6">
        <f>'P&amp;L Auto'!I5+'P&amp;L GL'!I5+'P&amp;L WC'!I5+'P&amp;L Property'!I5+'P&amp;L Professional'!I5+'P&amp;L Umbrella'!I5+'P&amp;L Surety'!I5+'P&amp;L Marine'!I5</f>
        <v>0</v>
      </c>
      <c r="F6">
        <f>'P&amp;L Auto'!I6+'P&amp;L GL'!I6+'P&amp;L WC'!I6+'P&amp;L Property'!I6+'P&amp;L Professional'!I6+'P&amp;L Umbrella'!I6+'P&amp;L Surety'!I6+'P&amp;L Marine'!I6</f>
        <v>0</v>
      </c>
      <c r="G6">
        <f>'P&amp;L Auto'!I7+'P&amp;L GL'!I7+'P&amp;L WC'!I7+'P&amp;L Property'!I7+'P&amp;L Professional'!I7+'P&amp;L Umbrella'!I7+'P&amp;L Surety'!I7+'P&amp;L Marine'!I7</f>
        <v>0</v>
      </c>
      <c r="H6">
        <f>'P&amp;L Auto'!I8+'P&amp;L GL'!I8+'P&amp;L WC'!I8+'P&amp;L Property'!I8+'P&amp;L Professional'!I8+'P&amp;L Umbrella'!I8+'P&amp;L Surety'!I8+'P&amp;L Marine'!I8</f>
        <v>0</v>
      </c>
      <c r="I6">
        <f>'P&amp;L Auto'!I9+'P&amp;L GL'!I9+'P&amp;L WC'!I9+'P&amp;L Property'!I9+'P&amp;L Professional'!I9+'P&amp;L Umbrella'!I9+'P&amp;L Surety'!I9+'P&amp;L Marine'!I9</f>
        <v>0</v>
      </c>
      <c r="J6">
        <f>SUM(B6:I6)</f>
        <v>0</v>
      </c>
    </row>
    <row r="7">
      <c r="A7" t="str">
        <v>UW Expense</v>
      </c>
      <c r="B7">
        <f>'P&amp;L Auto'!J2+'P&amp;L GL'!J2+'P&amp;L WC'!J2+'P&amp;L Property'!J2+'P&amp;L Professional'!J2+'P&amp;L Umbrella'!J2+'P&amp;L Surety'!J2+'P&amp;L Marine'!J2</f>
        <v>0</v>
      </c>
      <c r="C7">
        <f>'P&amp;L Auto'!J3+'P&amp;L GL'!J3+'P&amp;L WC'!J3+'P&amp;L Property'!J3+'P&amp;L Professional'!J3+'P&amp;L Umbrella'!J3+'P&amp;L Surety'!J3+'P&amp;L Marine'!J3</f>
        <v>0</v>
      </c>
      <c r="D7">
        <f>'P&amp;L Auto'!J4+'P&amp;L GL'!J4+'P&amp;L WC'!J4+'P&amp;L Property'!J4+'P&amp;L Professional'!J4+'P&amp;L Umbrella'!J4+'P&amp;L Surety'!J4+'P&amp;L Marine'!J4</f>
        <v>0</v>
      </c>
      <c r="E7">
        <f>'P&amp;L Auto'!J5+'P&amp;L GL'!J5+'P&amp;L WC'!J5+'P&amp;L Property'!J5+'P&amp;L Professional'!J5+'P&amp;L Umbrella'!J5+'P&amp;L Surety'!J5+'P&amp;L Marine'!J5</f>
        <v>0</v>
      </c>
      <c r="F7">
        <f>'P&amp;L Auto'!J6+'P&amp;L GL'!J6+'P&amp;L WC'!J6+'P&amp;L Property'!J6+'P&amp;L Professional'!J6+'P&amp;L Umbrella'!J6+'P&amp;L Surety'!J6+'P&amp;L Marine'!J6</f>
        <v>0</v>
      </c>
      <c r="G7">
        <f>'P&amp;L Auto'!J7+'P&amp;L GL'!J7+'P&amp;L WC'!J7+'P&amp;L Property'!J7+'P&amp;L Professional'!J7+'P&amp;L Umbrella'!J7+'P&amp;L Surety'!J7+'P&amp;L Marine'!J7</f>
        <v>0</v>
      </c>
      <c r="H7">
        <f>'P&amp;L Auto'!J8+'P&amp;L GL'!J8+'P&amp;L WC'!J8+'P&amp;L Property'!J8+'P&amp;L Professional'!J8+'P&amp;L Umbrella'!J8+'P&amp;L Surety'!J8+'P&amp;L Marine'!J8</f>
        <v>0</v>
      </c>
      <c r="I7">
        <f>'P&amp;L Auto'!J9+'P&amp;L GL'!J9+'P&amp;L WC'!J9+'P&amp;L Property'!J9+'P&amp;L Professional'!J9+'P&amp;L Umbrella'!J9+'P&amp;L Surety'!J9+'P&amp;L Marine'!J9</f>
        <v>0</v>
      </c>
      <c r="J7">
        <f>SUM(B7:I7)</f>
        <v>0</v>
      </c>
    </row>
    <row r="8">
      <c r="A8" t="str">
        <v>UW Income</v>
      </c>
      <c r="B8">
        <f>'P&amp;L Auto'!K2+'P&amp;L GL'!K2+'P&amp;L WC'!K2+'P&amp;L Property'!K2+'P&amp;L Professional'!K2+'P&amp;L Umbrella'!K2+'P&amp;L Surety'!K2+'P&amp;L Marine'!K2</f>
        <v>0</v>
      </c>
      <c r="C8">
        <f>'P&amp;L Auto'!K3+'P&amp;L GL'!K3+'P&amp;L WC'!K3+'P&amp;L Property'!K3+'P&amp;L Professional'!K3+'P&amp;L Umbrella'!K3+'P&amp;L Surety'!K3+'P&amp;L Marine'!K3</f>
        <v>0</v>
      </c>
      <c r="D8">
        <f>'P&amp;L Auto'!K4+'P&amp;L GL'!K4+'P&amp;L WC'!K4+'P&amp;L Property'!K4+'P&amp;L Professional'!K4+'P&amp;L Umbrella'!K4+'P&amp;L Surety'!K4+'P&amp;L Marine'!K4</f>
        <v>0</v>
      </c>
      <c r="E8">
        <f>'P&amp;L Auto'!K5+'P&amp;L GL'!K5+'P&amp;L WC'!K5+'P&amp;L Property'!K5+'P&amp;L Professional'!K5+'P&amp;L Umbrella'!K5+'P&amp;L Surety'!K5+'P&amp;L Marine'!K5</f>
        <v>0</v>
      </c>
      <c r="F8">
        <f>'P&amp;L Auto'!K6+'P&amp;L GL'!K6+'P&amp;L WC'!K6+'P&amp;L Property'!K6+'P&amp;L Professional'!K6+'P&amp;L Umbrella'!K6+'P&amp;L Surety'!K6+'P&amp;L Marine'!K6</f>
        <v>0</v>
      </c>
      <c r="G8">
        <f>'P&amp;L Auto'!K7+'P&amp;L GL'!K7+'P&amp;L WC'!K7+'P&amp;L Property'!K7+'P&amp;L Professional'!K7+'P&amp;L Umbrella'!K7+'P&amp;L Surety'!K7+'P&amp;L Marine'!K7</f>
        <v>0</v>
      </c>
      <c r="H8">
        <f>'P&amp;L Auto'!K8+'P&amp;L GL'!K8+'P&amp;L WC'!K8+'P&amp;L Property'!K8+'P&amp;L Professional'!K8+'P&amp;L Umbrella'!K8+'P&amp;L Surety'!K8+'P&amp;L Marine'!K8</f>
        <v>0</v>
      </c>
      <c r="I8">
        <f>'P&amp;L Auto'!K9+'P&amp;L GL'!K9+'P&amp;L WC'!K9+'P&amp;L Property'!K9+'P&amp;L Professional'!K9+'P&amp;L Umbrella'!K9+'P&amp;L Surety'!K9+'P&amp;L Marine'!K9</f>
        <v>0</v>
      </c>
      <c r="J8">
        <f>SUM(B8:I8)</f>
        <v>0</v>
      </c>
    </row>
    <row r="9">
      <c r="A9" t="str">
        <v>Inv Income</v>
      </c>
      <c r="B9">
        <f>'P&amp;L Auto'!L2+'P&amp;L GL'!L2+'P&amp;L WC'!L2+'P&amp;L Property'!L2+'P&amp;L Professional'!L2+'P&amp;L Umbrella'!L2+'P&amp;L Surety'!L2+'P&amp;L Marine'!L2</f>
        <v>0</v>
      </c>
      <c r="C9">
        <f>'P&amp;L Auto'!L3+'P&amp;L GL'!L3+'P&amp;L WC'!L3+'P&amp;L Property'!L3+'P&amp;L Professional'!L3+'P&amp;L Umbrella'!L3+'P&amp;L Surety'!L3+'P&amp;L Marine'!L3</f>
        <v>0</v>
      </c>
      <c r="D9">
        <f>'P&amp;L Auto'!L4+'P&amp;L GL'!L4+'P&amp;L WC'!L4+'P&amp;L Property'!L4+'P&amp;L Professional'!L4+'P&amp;L Umbrella'!L4+'P&amp;L Surety'!L4+'P&amp;L Marine'!L4</f>
        <v>0</v>
      </c>
      <c r="E9">
        <f>'P&amp;L Auto'!L5+'P&amp;L GL'!L5+'P&amp;L WC'!L5+'P&amp;L Property'!L5+'P&amp;L Professional'!L5+'P&amp;L Umbrella'!L5+'P&amp;L Surety'!L5+'P&amp;L Marine'!L5</f>
        <v>0</v>
      </c>
      <c r="F9">
        <f>'P&amp;L Auto'!L6+'P&amp;L GL'!L6+'P&amp;L WC'!L6+'P&amp;L Property'!L6+'P&amp;L Professional'!L6+'P&amp;L Umbrella'!L6+'P&amp;L Surety'!L6+'P&amp;L Marine'!L6</f>
        <v>0</v>
      </c>
      <c r="G9">
        <f>'P&amp;L Auto'!L7+'P&amp;L GL'!L7+'P&amp;L WC'!L7+'P&amp;L Property'!L7+'P&amp;L Professional'!L7+'P&amp;L Umbrella'!L7+'P&amp;L Surety'!L7+'P&amp;L Marine'!L7</f>
        <v>0</v>
      </c>
      <c r="H9">
        <f>'P&amp;L Auto'!L8+'P&amp;L GL'!L8+'P&amp;L WC'!L8+'P&amp;L Property'!L8+'P&amp;L Professional'!L8+'P&amp;L Umbrella'!L8+'P&amp;L Surety'!L8+'P&amp;L Marine'!L8</f>
        <v>0</v>
      </c>
      <c r="I9">
        <f>'P&amp;L Auto'!L9+'P&amp;L GL'!L9+'P&amp;L WC'!L9+'P&amp;L Property'!L9+'P&amp;L Professional'!L9+'P&amp;L Umbrella'!L9+'P&amp;L Surety'!L9+'P&amp;L Marine'!L9</f>
        <v>0</v>
      </c>
      <c r="J9">
        <f>SUM(B9:I9)</f>
        <v>0</v>
      </c>
    </row>
    <row r="10">
      <c r="A10" t="str">
        <v>Pre-Tax Income</v>
      </c>
      <c r="B10">
        <f>'P&amp;L Auto'!M2+'P&amp;L GL'!M2+'P&amp;L WC'!M2+'P&amp;L Property'!M2+'P&amp;L Professional'!M2+'P&amp;L Umbrella'!M2+'P&amp;L Surety'!M2+'P&amp;L Marine'!M2</f>
        <v>0</v>
      </c>
      <c r="C10">
        <f>'P&amp;L Auto'!M3+'P&amp;L GL'!M3+'P&amp;L WC'!M3+'P&amp;L Property'!M3+'P&amp;L Professional'!M3+'P&amp;L Umbrella'!M3+'P&amp;L Surety'!M3+'P&amp;L Marine'!M3</f>
        <v>0</v>
      </c>
      <c r="D10">
        <f>'P&amp;L Auto'!M4+'P&amp;L GL'!M4+'P&amp;L WC'!M4+'P&amp;L Property'!M4+'P&amp;L Professional'!M4+'P&amp;L Umbrella'!M4+'P&amp;L Surety'!M4+'P&amp;L Marine'!M4</f>
        <v>0</v>
      </c>
      <c r="E10">
        <f>'P&amp;L Auto'!M5+'P&amp;L GL'!M5+'P&amp;L WC'!M5+'P&amp;L Property'!M5+'P&amp;L Professional'!M5+'P&amp;L Umbrella'!M5+'P&amp;L Surety'!M5+'P&amp;L Marine'!M5</f>
        <v>0</v>
      </c>
      <c r="F10">
        <f>'P&amp;L Auto'!M6+'P&amp;L GL'!M6+'P&amp;L WC'!M6+'P&amp;L Property'!M6+'P&amp;L Professional'!M6+'P&amp;L Umbrella'!M6+'P&amp;L Surety'!M6+'P&amp;L Marine'!M6</f>
        <v>0</v>
      </c>
      <c r="G10">
        <f>'P&amp;L Auto'!M7+'P&amp;L GL'!M7+'P&amp;L WC'!M7+'P&amp;L Property'!M7+'P&amp;L Professional'!M7+'P&amp;L Umbrella'!M7+'P&amp;L Surety'!M7+'P&amp;L Marine'!M7</f>
        <v>0</v>
      </c>
      <c r="H10">
        <f>'P&amp;L Auto'!M8+'P&amp;L GL'!M8+'P&amp;L WC'!M8+'P&amp;L Property'!M8+'P&amp;L Professional'!M8+'P&amp;L Umbrella'!M8+'P&amp;L Surety'!M8+'P&amp;L Marine'!M8</f>
        <v>0</v>
      </c>
      <c r="I10">
        <f>'P&amp;L Auto'!M9+'P&amp;L GL'!M9+'P&amp;L WC'!M9+'P&amp;L Property'!M9+'P&amp;L Professional'!M9+'P&amp;L Umbrella'!M9+'P&amp;L Surety'!M9+'P&amp;L Marine'!M9</f>
        <v>0</v>
      </c>
      <c r="J10">
        <f>SUM(B10:I10)</f>
        <v>0</v>
      </c>
    </row>
    <row r="12">
      <c r="A12" t="str">
        <v>Loss Ratio</v>
      </c>
      <c r="B12">
        <f>B6/B5</f>
        <v>0</v>
      </c>
      <c r="C12">
        <f>C6/C5</f>
        <v>0</v>
      </c>
      <c r="D12">
        <f>D6/D5</f>
        <v>0</v>
      </c>
      <c r="E12">
        <f>E6/E5</f>
        <v>0</v>
      </c>
      <c r="F12">
        <f>F6/F5</f>
        <v>0</v>
      </c>
      <c r="G12">
        <f>G6/G5</f>
        <v>0</v>
      </c>
      <c r="H12">
        <f>H6/H5</f>
        <v>0</v>
      </c>
      <c r="I12">
        <f>I6/I5</f>
        <v>0</v>
      </c>
      <c r="J12">
        <f>J6/J5</f>
        <v>0</v>
      </c>
    </row>
    <row r="13">
      <c r="A13" t="str">
        <v>Expense Ratio</v>
      </c>
      <c r="B13">
        <f>B7/B5</f>
        <v>0</v>
      </c>
      <c r="C13">
        <f>C7/C5</f>
        <v>0</v>
      </c>
      <c r="D13">
        <f>D7/D5</f>
        <v>0</v>
      </c>
      <c r="E13">
        <f>E7/E5</f>
        <v>0</v>
      </c>
      <c r="F13">
        <f>F7/F5</f>
        <v>0</v>
      </c>
      <c r="G13">
        <f>G7/G5</f>
        <v>0</v>
      </c>
      <c r="H13">
        <f>H7/H5</f>
        <v>0</v>
      </c>
      <c r="I13">
        <f>I7/I5</f>
        <v>0</v>
      </c>
      <c r="J13">
        <f>J7/J5</f>
        <v>0</v>
      </c>
    </row>
    <row r="14">
      <c r="A14" t="str">
        <v>Combined Ratio</v>
      </c>
      <c r="B14">
        <f>B12+B13</f>
        <v>0</v>
      </c>
      <c r="C14">
        <f>C12+C13</f>
        <v>0</v>
      </c>
      <c r="D14">
        <f>D12+D13</f>
        <v>0</v>
      </c>
      <c r="E14">
        <f>E12+E13</f>
        <v>0</v>
      </c>
      <c r="F14">
        <f>F12+F13</f>
        <v>0</v>
      </c>
      <c r="G14">
        <f>G12+G13</f>
        <v>0</v>
      </c>
      <c r="H14">
        <f>H12+H13</f>
        <v>0</v>
      </c>
      <c r="I14">
        <f>I12+I13</f>
        <v>0</v>
      </c>
      <c r="J14">
        <f>J12+J13</f>
        <v>0</v>
      </c>
    </row>
  </sheetData>
  <ignoredErrors>
    <ignoredError numberStoredAsText="1" sqref="A1:J1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Data>
    <row r="1">
      <c r="A1" t="str">
        <v>Line</v>
      </c>
      <c r="B1" t="str">
        <v>2025 Q1</v>
      </c>
      <c r="C1" t="str">
        <v>2025 Q2</v>
      </c>
      <c r="D1" t="str">
        <v>2025 Q3</v>
      </c>
      <c r="E1" t="str">
        <v>2025 Q4</v>
      </c>
      <c r="F1" t="str">
        <v>2026 Q1</v>
      </c>
      <c r="G1" t="str">
        <v>2026 Q2</v>
      </c>
      <c r="H1" t="str">
        <v>2026 Q3</v>
      </c>
      <c r="I1" t="str">
        <v>2026 Q4</v>
      </c>
    </row>
    <row r="2">
      <c r="A2" t="str">
        <v>Invested Assets</v>
      </c>
      <c r="B2">
        <v>15000000</v>
      </c>
      <c r="C2">
        <v>15500000</v>
      </c>
      <c r="D2">
        <v>16000000</v>
      </c>
      <c r="E2">
        <v>16500000</v>
      </c>
      <c r="F2">
        <v>17000000</v>
      </c>
      <c r="G2">
        <v>17500000</v>
      </c>
      <c r="H2">
        <v>18000000</v>
      </c>
      <c r="I2">
        <v>18500000</v>
      </c>
    </row>
    <row r="3">
      <c r="A3" t="str">
        <v>Cash</v>
      </c>
      <c r="B3">
        <v>2783842</v>
      </c>
      <c r="C3">
        <v>3190206</v>
      </c>
      <c r="D3">
        <v>3048016</v>
      </c>
      <c r="E3">
        <v>2334926</v>
      </c>
      <c r="F3">
        <v>1544288</v>
      </c>
      <c r="G3">
        <v>3738072</v>
      </c>
      <c r="H3">
        <v>3466020</v>
      </c>
      <c r="I3">
        <v>2258903</v>
      </c>
    </row>
    <row r="4">
      <c r="A4" t="str">
        <v>Premiums Receivable</v>
      </c>
      <c r="B4">
        <v>1770423</v>
      </c>
      <c r="C4">
        <v>3446114</v>
      </c>
      <c r="D4">
        <v>2476426</v>
      </c>
      <c r="E4">
        <v>3620549</v>
      </c>
      <c r="F4">
        <v>3572102</v>
      </c>
      <c r="G4">
        <v>3474799</v>
      </c>
      <c r="H4">
        <v>1768369</v>
      </c>
      <c r="I4">
        <v>3066761</v>
      </c>
    </row>
    <row r="5">
      <c r="A5" t="str">
        <v>Reinsurance Recoverables</v>
      </c>
      <c r="B5">
        <f>B10*ReinsRecov</f>
        <v>0</v>
      </c>
      <c r="C5">
        <f>C10*ReinsRecov</f>
        <v>0</v>
      </c>
      <c r="D5">
        <f>D10*ReinsRecov</f>
        <v>0</v>
      </c>
      <c r="E5">
        <f>E10*ReinsRecov</f>
        <v>0</v>
      </c>
      <c r="F5">
        <f>F10*ReinsRecov</f>
        <v>0</v>
      </c>
      <c r="G5">
        <f>G10*ReinsRecov</f>
        <v>0</v>
      </c>
      <c r="H5">
        <f>H10*ReinsRecov</f>
        <v>0</v>
      </c>
      <c r="I5">
        <f>I10*ReinsRecov</f>
        <v>0</v>
      </c>
    </row>
    <row r="6">
      <c r="A6" t="str">
        <v>DAC</v>
      </c>
      <c r="B6">
        <f>'Consolidated P&amp;L'!B2*DACAmort</f>
        <v>0</v>
      </c>
      <c r="C6">
        <f>'Consolidated P&amp;L'!C2*DACAmort</f>
        <v>0</v>
      </c>
      <c r="D6">
        <f>'Consolidated P&amp;L'!D2*DACAmort</f>
        <v>0</v>
      </c>
      <c r="E6">
        <f>'Consolidated P&amp;L'!E2*DACAmort</f>
        <v>0</v>
      </c>
      <c r="F6">
        <f>'Consolidated P&amp;L'!F2*DACAmort</f>
        <v>0</v>
      </c>
      <c r="G6">
        <f>'Consolidated P&amp;L'!G2*DACAmort</f>
        <v>0</v>
      </c>
      <c r="H6">
        <f>'Consolidated P&amp;L'!H2*DACAmort</f>
        <v>0</v>
      </c>
      <c r="I6">
        <f>'Consolidated P&amp;L'!I2*DACAmort</f>
        <v>0</v>
      </c>
    </row>
    <row r="7">
      <c r="A7" t="str">
        <v>Other Assets</v>
      </c>
      <c r="B7">
        <v>2150509</v>
      </c>
      <c r="C7">
        <v>1778755</v>
      </c>
      <c r="D7">
        <v>3550165</v>
      </c>
      <c r="E7">
        <v>2318550</v>
      </c>
      <c r="F7">
        <v>1981603</v>
      </c>
      <c r="G7">
        <v>1975953</v>
      </c>
      <c r="H7">
        <v>1175829</v>
      </c>
      <c r="I7">
        <v>2655514</v>
      </c>
    </row>
    <row r="8">
      <c r="A8" t="str">
        <v>Total Assets</v>
      </c>
      <c r="B8">
        <f>SUM(B2:B7)</f>
        <v>0</v>
      </c>
      <c r="C8">
        <f>SUM(C2:C7)</f>
        <v>0</v>
      </c>
      <c r="D8">
        <f>SUM(D2:D7)</f>
        <v>0</v>
      </c>
      <c r="E8">
        <f>SUM(E2:E7)</f>
        <v>0</v>
      </c>
      <c r="F8">
        <f>SUM(F2:F7)</f>
        <v>0</v>
      </c>
      <c r="G8">
        <f>SUM(G2:G7)</f>
        <v>0</v>
      </c>
      <c r="H8">
        <f>SUM(H2:H7)</f>
        <v>0</v>
      </c>
      <c r="I8">
        <f>SUM(I2:I7)</f>
        <v>0</v>
      </c>
    </row>
    <row r="9">
      <c r="A9" t="str">
        <v/>
      </c>
    </row>
    <row r="10">
      <c r="A10" t="str">
        <v>Loss Reserves</v>
      </c>
      <c r="B10">
        <f>[reserve-model.xlsx]'Reserve Summary'!J10*(1+0.01)</f>
        <v>0</v>
      </c>
      <c r="C10">
        <f>[reserve-model.xlsx]'Reserve Summary'!J10*(1+0.02)</f>
        <v>0</v>
      </c>
      <c r="D10">
        <f>[reserve-model.xlsx]'Reserve Summary'!J10*(1+0.03)</f>
        <v>0</v>
      </c>
      <c r="E10">
        <f>[reserve-model.xlsx]'Reserve Summary'!J10*(1+0.04)</f>
        <v>0</v>
      </c>
      <c r="F10">
        <f>[reserve-model.xlsx]'Reserve Summary'!J10*(1+0.05)</f>
        <v>0</v>
      </c>
      <c r="G10">
        <f>[reserve-model.xlsx]'Reserve Summary'!J10*(1+0.06)</f>
        <v>0</v>
      </c>
      <c r="H10">
        <f>[reserve-model.xlsx]'Reserve Summary'!J10*(1+0.07)</f>
        <v>0</v>
      </c>
      <c r="I10">
        <f>[reserve-model.xlsx]'Reserve Summary'!J10*(1+0.08)</f>
        <v>0</v>
      </c>
    </row>
    <row r="11">
      <c r="A11" t="str">
        <v>Unearned Premium</v>
      </c>
      <c r="B11">
        <v>2472434</v>
      </c>
      <c r="C11">
        <v>2355742</v>
      </c>
      <c r="D11">
        <v>1250710</v>
      </c>
      <c r="E11">
        <v>3200556</v>
      </c>
      <c r="F11">
        <v>2899489</v>
      </c>
      <c r="G11">
        <v>3325448</v>
      </c>
      <c r="H11">
        <v>3792973</v>
      </c>
      <c r="I11">
        <v>3028153</v>
      </c>
    </row>
    <row r="12">
      <c r="A12" t="str">
        <v>Ceded Payable</v>
      </c>
      <c r="B12">
        <v>1789483</v>
      </c>
      <c r="C12">
        <v>1324491</v>
      </c>
      <c r="D12">
        <v>1895826</v>
      </c>
      <c r="E12">
        <v>2002638</v>
      </c>
      <c r="F12">
        <v>3487397</v>
      </c>
      <c r="G12">
        <v>1373917</v>
      </c>
      <c r="H12">
        <v>1549517</v>
      </c>
      <c r="I12">
        <v>3944532</v>
      </c>
    </row>
    <row r="13">
      <c r="A13" t="str">
        <v>Other Liabilities</v>
      </c>
      <c r="B13">
        <v>1752972</v>
      </c>
      <c r="C13">
        <v>2148926</v>
      </c>
      <c r="D13">
        <v>2218013</v>
      </c>
      <c r="E13">
        <v>3975174</v>
      </c>
      <c r="F13">
        <v>3315243</v>
      </c>
      <c r="G13">
        <v>3592803</v>
      </c>
      <c r="H13">
        <v>3081524</v>
      </c>
      <c r="I13">
        <v>1907811</v>
      </c>
    </row>
    <row r="14">
      <c r="A14" t="str">
        <v>Total Liabilities</v>
      </c>
      <c r="B14">
        <f>SUM(B10:B13)</f>
        <v>0</v>
      </c>
      <c r="C14">
        <f>SUM(C10:C13)</f>
        <v>0</v>
      </c>
      <c r="D14">
        <f>SUM(D10:D13)</f>
        <v>0</v>
      </c>
      <c r="E14">
        <f>SUM(E10:E13)</f>
        <v>0</v>
      </c>
      <c r="F14">
        <f>SUM(F10:F13)</f>
        <v>0</v>
      </c>
      <c r="G14">
        <f>SUM(G10:G13)</f>
        <v>0</v>
      </c>
      <c r="H14">
        <f>SUM(H10:H13)</f>
        <v>0</v>
      </c>
      <c r="I14">
        <f>SUM(I10:I13)</f>
        <v>0</v>
      </c>
    </row>
    <row r="15">
      <c r="A15" t="str">
        <v/>
      </c>
    </row>
    <row r="16">
      <c r="A16" t="str">
        <v>Surplus</v>
      </c>
      <c r="B16">
        <f>B8-B14</f>
        <v>0</v>
      </c>
      <c r="C16">
        <f>C8-C14</f>
        <v>0</v>
      </c>
      <c r="D16">
        <f>D8-D14</f>
        <v>0</v>
      </c>
      <c r="E16">
        <f>E8-E14</f>
        <v>0</v>
      </c>
      <c r="F16">
        <f>F8-F14</f>
        <v>0</v>
      </c>
      <c r="G16">
        <f>G8-G14</f>
        <v>0</v>
      </c>
      <c r="H16">
        <f>H8-H14</f>
        <v>0</v>
      </c>
      <c r="I16">
        <f>I8-I14</f>
        <v>0</v>
      </c>
    </row>
    <row r="17">
      <c r="A17" t="str">
        <v>Total L&amp;S</v>
      </c>
      <c r="B17">
        <f>B14+B16</f>
        <v>0</v>
      </c>
      <c r="C17">
        <f>C14+C16</f>
        <v>0</v>
      </c>
      <c r="D17">
        <f>D14+D16</f>
        <v>0</v>
      </c>
      <c r="E17">
        <f>E14+E16</f>
        <v>0</v>
      </c>
      <c r="F17">
        <f>F14+F16</f>
        <v>0</v>
      </c>
      <c r="G17">
        <f>G14+G16</f>
        <v>0</v>
      </c>
      <c r="H17">
        <f>H14+H16</f>
        <v>0</v>
      </c>
      <c r="I17">
        <f>I14+I16</f>
        <v>0</v>
      </c>
    </row>
  </sheetData>
  <ignoredErrors>
    <ignoredError numberStoredAsText="1" sqref="A1:I1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Data>
    <row r="1">
      <c r="A1" t="str">
        <v>Line</v>
      </c>
      <c r="B1" t="str">
        <v>2025 Q1</v>
      </c>
      <c r="C1" t="str">
        <v>2025 Q2</v>
      </c>
      <c r="D1" t="str">
        <v>2025 Q3</v>
      </c>
      <c r="E1" t="str">
        <v>2025 Q4</v>
      </c>
      <c r="F1" t="str">
        <v>2026 Q1</v>
      </c>
      <c r="G1" t="str">
        <v>2026 Q2</v>
      </c>
      <c r="H1" t="str">
        <v>2026 Q3</v>
      </c>
      <c r="I1" t="str">
        <v>2026 Q4</v>
      </c>
    </row>
    <row r="2">
      <c r="A2" t="str">
        <v>Premium Collected</v>
      </c>
      <c r="B2">
        <f>'Consolidated P&amp;L'!B3*0.95</f>
        <v>0</v>
      </c>
      <c r="C2">
        <f>'Consolidated P&amp;L'!C3*0.95</f>
        <v>0</v>
      </c>
      <c r="D2">
        <f>'Consolidated P&amp;L'!D3*0.95</f>
        <v>0</v>
      </c>
      <c r="E2">
        <f>'Consolidated P&amp;L'!E3*0.95</f>
        <v>0</v>
      </c>
      <c r="F2">
        <f>'Consolidated P&amp;L'!F3*0.95</f>
        <v>0</v>
      </c>
      <c r="G2">
        <f>'Consolidated P&amp;L'!G3*0.95</f>
        <v>0</v>
      </c>
      <c r="H2">
        <f>'Consolidated P&amp;L'!H3*0.95</f>
        <v>0</v>
      </c>
      <c r="I2">
        <f>'Consolidated P&amp;L'!I3*0.95</f>
        <v>0</v>
      </c>
    </row>
    <row r="3">
      <c r="A3" t="str">
        <v>Loss Paid</v>
      </c>
      <c r="B3">
        <f>'Consolidated P&amp;L'!B7*0.6</f>
        <v>0</v>
      </c>
      <c r="C3">
        <f>'Consolidated P&amp;L'!C7*0.6</f>
        <v>0</v>
      </c>
      <c r="D3">
        <f>'Consolidated P&amp;L'!D7*0.6</f>
        <v>0</v>
      </c>
      <c r="E3">
        <f>'Consolidated P&amp;L'!E7*0.6</f>
        <v>0</v>
      </c>
      <c r="F3">
        <f>'Consolidated P&amp;L'!F7*0.6</f>
        <v>0</v>
      </c>
      <c r="G3">
        <f>'Consolidated P&amp;L'!G7*0.6</f>
        <v>0</v>
      </c>
      <c r="H3">
        <f>'Consolidated P&amp;L'!H7*0.6</f>
        <v>0</v>
      </c>
      <c r="I3">
        <f>'Consolidated P&amp;L'!I7*0.6</f>
        <v>0</v>
      </c>
    </row>
    <row r="4">
      <c r="A4" t="str">
        <v>Expense Paid</v>
      </c>
      <c r="B4">
        <f>'Consolidated P&amp;L'!B8</f>
        <v>0</v>
      </c>
      <c r="C4">
        <f>'Consolidated P&amp;L'!C8</f>
        <v>0</v>
      </c>
      <c r="D4">
        <f>'Consolidated P&amp;L'!D8</f>
        <v>0</v>
      </c>
      <c r="E4">
        <f>'Consolidated P&amp;L'!E8</f>
        <v>0</v>
      </c>
      <c r="F4">
        <f>'Consolidated P&amp;L'!F8</f>
        <v>0</v>
      </c>
      <c r="G4">
        <f>'Consolidated P&amp;L'!G8</f>
        <v>0</v>
      </c>
      <c r="H4">
        <f>'Consolidated P&amp;L'!H8</f>
        <v>0</v>
      </c>
      <c r="I4">
        <f>'Consolidated P&amp;L'!I8</f>
        <v>0</v>
      </c>
    </row>
    <row r="5">
      <c r="A5" t="str">
        <v>Reinsurance Paid</v>
      </c>
      <c r="B5">
        <v>576481</v>
      </c>
      <c r="C5">
        <v>2462955</v>
      </c>
      <c r="D5">
        <v>651996</v>
      </c>
      <c r="E5">
        <v>2266186</v>
      </c>
      <c r="F5">
        <v>2230473</v>
      </c>
      <c r="G5">
        <v>777962</v>
      </c>
      <c r="H5">
        <v>1360526</v>
      </c>
      <c r="I5">
        <v>1931965</v>
      </c>
    </row>
    <row r="6">
      <c r="A6" t="str">
        <v>Reinsurance Recovered</v>
      </c>
      <c r="B6">
        <v>566976</v>
      </c>
      <c r="C6">
        <v>1193239</v>
      </c>
      <c r="D6">
        <v>2473094</v>
      </c>
      <c r="E6">
        <v>979498</v>
      </c>
      <c r="F6">
        <v>1422951</v>
      </c>
      <c r="G6">
        <v>1631604</v>
      </c>
      <c r="H6">
        <v>1860872</v>
      </c>
      <c r="I6">
        <v>1210220</v>
      </c>
    </row>
    <row r="7">
      <c r="A7" t="str">
        <v>Operating CF</v>
      </c>
      <c r="B7">
        <f>B2+B5-B3-B4-B6</f>
        <v>0</v>
      </c>
      <c r="C7">
        <f>C2+C5-C3-C4-C6</f>
        <v>0</v>
      </c>
      <c r="D7">
        <f>D2+D5-D3-D4-D6</f>
        <v>0</v>
      </c>
      <c r="E7">
        <f>E2+E5-E3-E4-E6</f>
        <v>0</v>
      </c>
      <c r="F7">
        <f>F2+F5-F3-F4-F6</f>
        <v>0</v>
      </c>
      <c r="G7">
        <f>G2+G5-G3-G4-G6</f>
        <v>0</v>
      </c>
      <c r="H7">
        <f>H2+H5-H3-H4-H6</f>
        <v>0</v>
      </c>
      <c r="I7">
        <f>I2+I5-I3-I4-I6</f>
        <v>0</v>
      </c>
    </row>
    <row r="8">
      <c r="A8" t="str">
        <v/>
      </c>
    </row>
    <row r="9">
      <c r="A9" t="str">
        <v>Investment Purchases</v>
      </c>
      <c r="B9">
        <v>1594768</v>
      </c>
      <c r="C9">
        <v>1475239</v>
      </c>
      <c r="D9">
        <v>1484394</v>
      </c>
      <c r="E9">
        <v>1744128</v>
      </c>
      <c r="F9">
        <v>946148</v>
      </c>
      <c r="G9">
        <v>2131031</v>
      </c>
      <c r="H9">
        <v>892762</v>
      </c>
      <c r="I9">
        <v>2040172</v>
      </c>
    </row>
    <row r="10">
      <c r="A10" t="str">
        <v>Investment Maturities</v>
      </c>
      <c r="B10">
        <v>748205</v>
      </c>
      <c r="C10">
        <v>1294799</v>
      </c>
      <c r="D10">
        <v>843056</v>
      </c>
      <c r="E10">
        <v>1751092</v>
      </c>
      <c r="F10">
        <v>2459732</v>
      </c>
      <c r="G10">
        <v>2196113</v>
      </c>
      <c r="H10">
        <v>2185336</v>
      </c>
      <c r="I10">
        <v>837445</v>
      </c>
    </row>
    <row r="11">
      <c r="A11" t="str">
        <v>Investment Income Received</v>
      </c>
      <c r="B11">
        <f>'Balance Sheet'!B2*InvYield/4</f>
        <v>0</v>
      </c>
      <c r="C11">
        <f>'Balance Sheet'!C2*InvYield/4</f>
        <v>0</v>
      </c>
      <c r="D11">
        <f>'Balance Sheet'!D2*InvYield/4</f>
        <v>0</v>
      </c>
      <c r="E11">
        <f>'Balance Sheet'!E2*InvYield/4</f>
        <v>0</v>
      </c>
      <c r="F11">
        <f>'Balance Sheet'!F2*InvYield/4</f>
        <v>0</v>
      </c>
      <c r="G11">
        <f>'Balance Sheet'!G2*InvYield/4</f>
        <v>0</v>
      </c>
      <c r="H11">
        <f>'Balance Sheet'!H2*InvYield/4</f>
        <v>0</v>
      </c>
      <c r="I11">
        <f>'Balance Sheet'!I2*InvYield/4</f>
        <v>0</v>
      </c>
    </row>
    <row r="12">
      <c r="A12" t="str">
        <v>Investing CF</v>
      </c>
      <c r="B12">
        <f>B10+B11+B12</f>
        <v>0</v>
      </c>
      <c r="C12">
        <f>C10+C11+C12</f>
        <v>0</v>
      </c>
      <c r="D12">
        <f>D10+D11+D12</f>
        <v>0</v>
      </c>
      <c r="E12">
        <f>E10+E11+E12</f>
        <v>0</v>
      </c>
      <c r="F12">
        <f>F10+F11+F12</f>
        <v>0</v>
      </c>
      <c r="G12">
        <f>G10+G11+G12</f>
        <v>0</v>
      </c>
      <c r="H12">
        <f>H10+H11+H12</f>
        <v>0</v>
      </c>
      <c r="I12">
        <f>I10+I11+I12</f>
        <v>0</v>
      </c>
    </row>
    <row r="13">
      <c r="A13" t="str">
        <v/>
      </c>
    </row>
    <row r="14">
      <c r="A14" t="str">
        <v>Dividends Paid</v>
      </c>
      <c r="B14">
        <f>'Consolidated P&amp;L'!B11*DividendPayout</f>
        <v>0</v>
      </c>
      <c r="C14">
        <f>'Consolidated P&amp;L'!C11*DividendPayout</f>
        <v>0</v>
      </c>
      <c r="D14">
        <f>'Consolidated P&amp;L'!D11*DividendPayout</f>
        <v>0</v>
      </c>
      <c r="E14">
        <f>'Consolidated P&amp;L'!E11*DividendPayout</f>
        <v>0</v>
      </c>
      <c r="F14">
        <f>'Consolidated P&amp;L'!F11*DividendPayout</f>
        <v>0</v>
      </c>
      <c r="G14">
        <f>'Consolidated P&amp;L'!G11*DividendPayout</f>
        <v>0</v>
      </c>
      <c r="H14">
        <f>'Consolidated P&amp;L'!H11*DividendPayout</f>
        <v>0</v>
      </c>
      <c r="I14">
        <f>'Consolidated P&amp;L'!I11*DividendPayout</f>
        <v>0</v>
      </c>
    </row>
    <row r="15">
      <c r="A15" t="str">
        <v>Capital Contribution</v>
      </c>
      <c r="B15">
        <v>2402562</v>
      </c>
      <c r="C15">
        <v>2418286</v>
      </c>
      <c r="D15">
        <v>2296814</v>
      </c>
      <c r="E15">
        <v>1860771</v>
      </c>
      <c r="F15">
        <v>626856</v>
      </c>
      <c r="G15">
        <v>1997383</v>
      </c>
      <c r="H15">
        <v>1801517</v>
      </c>
      <c r="I15">
        <v>1180506</v>
      </c>
    </row>
    <row r="16">
      <c r="A16" t="str">
        <v>Financing CF</v>
      </c>
      <c r="B16">
        <f>B15+B16</f>
        <v>0</v>
      </c>
      <c r="C16">
        <f>C15+C16</f>
        <v>0</v>
      </c>
      <c r="D16">
        <f>D15+D16</f>
        <v>0</v>
      </c>
      <c r="E16">
        <f>E15+E16</f>
        <v>0</v>
      </c>
      <c r="F16">
        <f>F15+F16</f>
        <v>0</v>
      </c>
      <c r="G16">
        <f>G15+G16</f>
        <v>0</v>
      </c>
      <c r="H16">
        <f>H15+H16</f>
        <v>0</v>
      </c>
      <c r="I16">
        <f>I15+I16</f>
        <v>0</v>
      </c>
    </row>
    <row r="17">
      <c r="A17" t="str">
        <v/>
      </c>
    </row>
    <row r="18">
      <c r="A18" t="str">
        <v>Net Cash Flow</v>
      </c>
      <c r="B18">
        <f>B8+B13+B17</f>
        <v>0</v>
      </c>
      <c r="C18">
        <f>C8+C13+C17</f>
        <v>0</v>
      </c>
      <c r="D18">
        <f>D8+D13+D17</f>
        <v>0</v>
      </c>
      <c r="E18">
        <f>E8+E13+E17</f>
        <v>0</v>
      </c>
      <c r="F18">
        <f>F8+F13+F17</f>
        <v>0</v>
      </c>
      <c r="G18">
        <f>G8+G13+G17</f>
        <v>0</v>
      </c>
      <c r="H18">
        <f>H8+H13+H17</f>
        <v>0</v>
      </c>
      <c r="I18">
        <f>I8+I13+I17</f>
        <v>0</v>
      </c>
    </row>
    <row r="19">
      <c r="A19" t="str">
        <v>Beginning Cash</v>
      </c>
      <c r="B19">
        <v>5000000</v>
      </c>
      <c r="C19">
        <f>B20</f>
        <v>0</v>
      </c>
      <c r="D19">
        <f>C20</f>
        <v>0</v>
      </c>
      <c r="E19">
        <f>D20</f>
        <v>0</v>
      </c>
      <c r="F19">
        <f>E20</f>
        <v>0</v>
      </c>
      <c r="G19">
        <f>F20</f>
        <v>0</v>
      </c>
      <c r="H19">
        <f>G20</f>
        <v>0</v>
      </c>
      <c r="I19">
        <f>H20</f>
        <v>0</v>
      </c>
    </row>
    <row r="20">
      <c r="A20" t="str">
        <v>Ending Cash</v>
      </c>
      <c r="B20">
        <f>B19+B18</f>
        <v>0</v>
      </c>
      <c r="C20">
        <f>C19+C18</f>
        <v>0</v>
      </c>
      <c r="D20">
        <f>D19+D18</f>
        <v>0</v>
      </c>
      <c r="E20">
        <f>E19+E18</f>
        <v>0</v>
      </c>
      <c r="F20">
        <f>F19+F18</f>
        <v>0</v>
      </c>
      <c r="G20">
        <f>G19+G18</f>
        <v>0</v>
      </c>
      <c r="H20">
        <f>H19+H18</f>
        <v>0</v>
      </c>
      <c r="I20">
        <f>I19+I18</f>
        <v>0</v>
      </c>
    </row>
  </sheetData>
  <ignoredErrors>
    <ignoredError numberStoredAsText="1" sqref="A1:I20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Asset Class</v>
      </c>
      <c r="B1" t="str">
        <v>Market Value</v>
      </c>
      <c r="C1" t="str">
        <v>Book Value</v>
      </c>
      <c r="D1" t="str">
        <v>Yield</v>
      </c>
      <c r="E1" t="str">
        <v>Duration</v>
      </c>
      <c r="F1" t="str">
        <v>Weight</v>
      </c>
      <c r="G1" t="str">
        <v>Contribution</v>
      </c>
    </row>
    <row r="2">
      <c r="A2" t="str">
        <v>US Treasury</v>
      </c>
      <c r="B2">
        <v>5000000</v>
      </c>
      <c r="C2">
        <v>4900000</v>
      </c>
      <c r="D2">
        <v>0.035</v>
      </c>
      <c r="E2">
        <v>3.5</v>
      </c>
      <c r="F2">
        <f>'Investment Portfolio'!B2/'Investment Portfolio'!B10</f>
        <v>0</v>
      </c>
      <c r="G2">
        <f>'Investment Portfolio'!F2*'Investment Portfolio'!D2</f>
        <v>0</v>
      </c>
    </row>
    <row r="3">
      <c r="A3" t="str">
        <v>Corp IG</v>
      </c>
      <c r="B3">
        <v>4000000</v>
      </c>
      <c r="C3">
        <v>3950000</v>
      </c>
      <c r="D3">
        <v>0.045</v>
      </c>
      <c r="E3">
        <v>4.2</v>
      </c>
      <c r="F3">
        <f>'Investment Portfolio'!B3/'Investment Portfolio'!B10</f>
        <v>0</v>
      </c>
      <c r="G3">
        <f>'Investment Portfolio'!F3*'Investment Portfolio'!D3</f>
        <v>0</v>
      </c>
    </row>
    <row r="4">
      <c r="A4" t="str">
        <v>Corp HY</v>
      </c>
      <c r="B4">
        <v>1000000</v>
      </c>
      <c r="C4">
        <v>980000</v>
      </c>
      <c r="D4">
        <v>0.065</v>
      </c>
      <c r="E4">
        <v>3.8</v>
      </c>
      <c r="F4">
        <f>'Investment Portfolio'!B4/'Investment Portfolio'!B10</f>
        <v>0</v>
      </c>
      <c r="G4">
        <f>'Investment Portfolio'!F4*'Investment Portfolio'!D4</f>
        <v>0</v>
      </c>
    </row>
    <row r="5">
      <c r="A5" t="str">
        <v>Muni</v>
      </c>
      <c r="B5">
        <v>2000000</v>
      </c>
      <c r="C5">
        <v>1980000</v>
      </c>
      <c r="D5">
        <v>0.03</v>
      </c>
      <c r="E5">
        <v>5</v>
      </c>
      <c r="F5">
        <f>'Investment Portfolio'!B5/'Investment Portfolio'!B10</f>
        <v>0</v>
      </c>
      <c r="G5">
        <f>'Investment Portfolio'!F5*'Investment Portfolio'!D5</f>
        <v>0</v>
      </c>
    </row>
    <row r="6">
      <c r="A6" t="str">
        <v>MBS</v>
      </c>
      <c r="B6">
        <v>1500000</v>
      </c>
      <c r="C6">
        <v>1470000</v>
      </c>
      <c r="D6">
        <v>0.04</v>
      </c>
      <c r="E6">
        <v>3</v>
      </c>
      <c r="F6">
        <f>'Investment Portfolio'!B6/'Investment Portfolio'!B10</f>
        <v>0</v>
      </c>
      <c r="G6">
        <f>'Investment Portfolio'!F6*'Investment Portfolio'!D6</f>
        <v>0</v>
      </c>
    </row>
    <row r="7">
      <c r="A7" t="str">
        <v>Equity</v>
      </c>
      <c r="B7">
        <v>1000000</v>
      </c>
      <c r="C7">
        <v>900000</v>
      </c>
      <c r="D7">
        <v>0.08</v>
      </c>
      <c r="E7">
        <v>0</v>
      </c>
      <c r="F7">
        <f>'Investment Portfolio'!B7/'Investment Portfolio'!B10</f>
        <v>0</v>
      </c>
      <c r="G7">
        <f>'Investment Portfolio'!F7*'Investment Portfolio'!D7</f>
        <v>0</v>
      </c>
    </row>
    <row r="8">
      <c r="A8" t="str">
        <v>Real Estate</v>
      </c>
      <c r="B8">
        <v>500000</v>
      </c>
      <c r="C8">
        <v>480000</v>
      </c>
      <c r="D8">
        <v>0.06</v>
      </c>
      <c r="E8">
        <v>0</v>
      </c>
      <c r="F8">
        <f>'Investment Portfolio'!B8/'Investment Portfolio'!B10</f>
        <v>0</v>
      </c>
      <c r="G8">
        <f>'Investment Portfolio'!F8*'Investment Portfolio'!D8</f>
        <v>0</v>
      </c>
    </row>
    <row r="9">
      <c r="A9" t="str">
        <v>Cash</v>
      </c>
      <c r="B9">
        <v>1000000</v>
      </c>
      <c r="C9">
        <v>1000000</v>
      </c>
      <c r="D9">
        <v>0.02</v>
      </c>
      <c r="E9">
        <v>0</v>
      </c>
      <c r="F9">
        <f>'Investment Portfolio'!B9/'Investment Portfolio'!B10</f>
        <v>0</v>
      </c>
      <c r="G9">
        <f>'Investment Portfolio'!F9*'Investment Portfolio'!D9</f>
        <v>0</v>
      </c>
    </row>
    <row r="10">
      <c r="A10" t="str">
        <v>TOTAL</v>
      </c>
      <c r="B10">
        <f>SUM(B2:B9)</f>
        <v>0</v>
      </c>
      <c r="C10">
        <f>SUM(C2:C9)</f>
        <v>0</v>
      </c>
      <c r="D10">
        <f>SUM(G2:G9)</f>
        <v>0</v>
      </c>
      <c r="E10">
        <f>SUMPRODUCT(E2:E9,F2:F9)</f>
        <v>0</v>
      </c>
      <c r="F10">
        <f>SUM(F2:F9)</f>
        <v>0</v>
      </c>
      <c r="G10">
        <f>SUM(G2:G9)</f>
        <v>0</v>
      </c>
    </row>
  </sheetData>
  <ignoredErrors>
    <ignoredError numberStoredAsText="1" sqref="A1:G1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Metric</v>
      </c>
      <c r="B1" t="str">
        <v>Value</v>
      </c>
      <c r="C1" t="str">
        <v>Target</v>
      </c>
      <c r="D1" t="str">
        <v>Status</v>
      </c>
    </row>
    <row r="2">
      <c r="A2" t="str">
        <v>Combined Ratio</v>
      </c>
      <c r="B2">
        <f>'Consolidated P&amp;L'!J14</f>
        <v>0</v>
      </c>
      <c r="C2">
        <v>0.95</v>
      </c>
      <c r="D2">
        <f>IF(Dashboard!B2&gt;=Dashboard!C2,"Met","Below")</f>
        <v>0</v>
      </c>
    </row>
    <row r="3">
      <c r="A3" t="str">
        <v>RBC Ratio</v>
      </c>
      <c r="B3">
        <f>'Balance Sheet'!I16/'Balance Sheet'!I10*4</f>
        <v>0</v>
      </c>
      <c r="C3">
        <v>3</v>
      </c>
      <c r="D3">
        <f>IF(Dashboard!B3&gt;=Dashboard!C3,"Met","Below")</f>
        <v>0</v>
      </c>
    </row>
    <row r="4">
      <c r="A4" t="str">
        <v>Surplus</v>
      </c>
      <c r="B4">
        <f>'Balance Sheet'!I16</f>
        <v>0</v>
      </c>
      <c r="C4">
        <v>10000000</v>
      </c>
      <c r="D4">
        <f>IF(Dashboard!B4&gt;=Dashboard!C4,"Met","Below")</f>
        <v>0</v>
      </c>
    </row>
    <row r="5">
      <c r="A5" t="str">
        <v>Loss Reserve</v>
      </c>
      <c r="B5">
        <f>[reserve-model.xlsx]'Reserve Summary'!J10</f>
        <v>0</v>
      </c>
      <c r="C5">
        <v>5000000</v>
      </c>
      <c r="D5">
        <f>IF(Dashboard!B5&gt;=Dashboard!C5,"Met","Below")</f>
        <v>0</v>
      </c>
    </row>
    <row r="6">
      <c r="A6" t="str">
        <v>Investment Yield</v>
      </c>
      <c r="B6">
        <f>'Investment Portfolio'!D10</f>
        <v>0</v>
      </c>
      <c r="C6">
        <v>0.04</v>
      </c>
      <c r="D6">
        <f>IF(Dashboard!B6&gt;=Dashboard!C6,"Met","Below")</f>
        <v>0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Financial Assumptions</vt:lpstr>
      <vt:lpstr>P&amp;L Auto</vt:lpstr>
      <vt:lpstr>P&amp;L GL</vt:lpstr>
      <vt:lpstr>P&amp;L WC</vt:lpstr>
      <vt:lpstr>P&amp;L Property</vt:lpstr>
      <vt:lpstr>P&amp;L Professional</vt:lpstr>
      <vt:lpstr>P&amp;L Umbrella</vt:lpstr>
      <vt:lpstr>P&amp;L Surety</vt:lpstr>
      <vt:lpstr>P&amp;L Marine</vt:lpstr>
      <vt:lpstr>Consolidated P&amp;L</vt:lpstr>
      <vt:lpstr>Balance Sheet</vt:lpstr>
      <vt:lpstr>Cash Flow</vt:lpstr>
      <vt:lpstr>Investment Portfolio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
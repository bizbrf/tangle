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eaty Structure" sheetId="1" r:id="rId1"/>
    <sheet name="Cession QS 30" sheetId="2" r:id="rId2"/>
    <sheet name="Cession Per Occ 500xs500" sheetId="3" r:id="rId3"/>
    <sheet name="Cession Per Occ 2Mxs1M" sheetId="4" r:id="rId4"/>
    <sheet name="Cession Cat 10Mxs5M" sheetId="5" r:id="rId5"/>
    <sheet name="Cession Cat 25Mxs15M" sheetId="6" r:id="rId6"/>
    <sheet name="Cession Clash 5Mxs5M" sheetId="7" r:id="rId7"/>
    <sheet name="Ret Auto Liability" sheetId="8" r:id="rId8"/>
    <sheet name="Ret General Liability" sheetId="9" r:id="rId9"/>
    <sheet name="Ret Workers Comp" sheetId="10" r:id="rId10"/>
    <sheet name="Ret Commercial Propert" sheetId="11" r:id="rId11"/>
    <sheet name="Ret Professional Liab" sheetId="12" r:id="rId12"/>
    <sheet name="Ret Umbrella" sheetId="13" r:id="rId13"/>
    <sheet name="Reinsurance Summary" sheetId="14" r:id="rId14"/>
  </sheets>
  <definedNames>
    <definedName name="QSCedingPct">'Treaty Structure'!$F$2</definedName>
    <definedName name="XOL1Limit">'Treaty Structure'!$C$3</definedName>
    <definedName name="XOL1Retention">'Treaty Structure'!$D$3</definedName>
    <definedName name="CatRetention">'Treaty Structure'!$D$5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Layer</v>
      </c>
      <c r="B1" t="str">
        <v>Type</v>
      </c>
      <c r="C1" t="str">
        <v>Limit</v>
      </c>
      <c r="D1" t="str">
        <v>Retention</v>
      </c>
      <c r="E1" t="str">
        <v>Rate</v>
      </c>
      <c r="F1" t="str">
        <v>Ceding %</v>
      </c>
      <c r="G1" t="str">
        <v>Min Premium</v>
      </c>
      <c r="H1" t="str">
        <v>Max Premium</v>
      </c>
      <c r="I1" t="str">
        <v>Reinstatements</v>
      </c>
    </row>
    <row r="2">
      <c r="A2" t="str">
        <v>QS 30%</v>
      </c>
      <c r="B2" t="str">
        <v>Quota Share</v>
      </c>
      <c r="C2" t="str">
        <v>Unlimited</v>
      </c>
      <c r="D2">
        <v>0</v>
      </c>
      <c r="E2">
        <v>0.3</v>
      </c>
      <c r="F2">
        <v>0.3</v>
      </c>
      <c r="G2">
        <v>1500000</v>
      </c>
      <c r="H2">
        <v>5000000</v>
      </c>
      <c r="I2">
        <v>0</v>
      </c>
    </row>
    <row r="3">
      <c r="A3" t="str">
        <v>Per Occ 500xs500</v>
      </c>
      <c r="B3" t="str">
        <v>XOL</v>
      </c>
      <c r="C3">
        <v>500000</v>
      </c>
      <c r="D3">
        <v>500000</v>
      </c>
      <c r="E3">
        <v>0.12</v>
      </c>
      <c r="F3">
        <v>1</v>
      </c>
      <c r="G3">
        <v>600000</v>
      </c>
      <c r="H3">
        <v>1200000</v>
      </c>
      <c r="I3">
        <v>2</v>
      </c>
    </row>
    <row r="4">
      <c r="A4" t="str">
        <v>Per Occ 2Mxs1M</v>
      </c>
      <c r="B4" t="str">
        <v>XOL</v>
      </c>
      <c r="C4">
        <v>2000000</v>
      </c>
      <c r="D4">
        <v>1000000</v>
      </c>
      <c r="E4">
        <v>0.08</v>
      </c>
      <c r="F4">
        <v>1</v>
      </c>
      <c r="G4">
        <v>400000</v>
      </c>
      <c r="H4">
        <v>900000</v>
      </c>
      <c r="I4">
        <v>2</v>
      </c>
    </row>
    <row r="5">
      <c r="A5" t="str">
        <v>Cat 10Mxs5M</v>
      </c>
      <c r="B5" t="str">
        <v>Cat XOL</v>
      </c>
      <c r="C5">
        <v>10000000</v>
      </c>
      <c r="D5">
        <v>5000000</v>
      </c>
      <c r="E5">
        <v>0.045</v>
      </c>
      <c r="F5">
        <v>1</v>
      </c>
      <c r="G5">
        <v>300000</v>
      </c>
      <c r="H5">
        <v>800000</v>
      </c>
      <c r="I5">
        <v>1</v>
      </c>
    </row>
    <row r="6">
      <c r="A6" t="str">
        <v>Cat 25Mxs15M</v>
      </c>
      <c r="B6" t="str">
        <v>Cat XOL</v>
      </c>
      <c r="C6">
        <v>25000000</v>
      </c>
      <c r="D6">
        <v>15000000</v>
      </c>
      <c r="E6">
        <v>0.025</v>
      </c>
      <c r="F6">
        <v>1</v>
      </c>
      <c r="G6">
        <v>200000</v>
      </c>
      <c r="H6">
        <v>600000</v>
      </c>
      <c r="I6">
        <v>1</v>
      </c>
    </row>
    <row r="7">
      <c r="A7" t="str">
        <v>Clash 5Mxs5M</v>
      </c>
      <c r="B7" t="str">
        <v>Clash</v>
      </c>
      <c r="C7">
        <v>5000000</v>
      </c>
      <c r="D7">
        <v>5000000</v>
      </c>
      <c r="E7">
        <v>0.035</v>
      </c>
      <c r="F7">
        <v>1</v>
      </c>
      <c r="G7">
        <v>175000</v>
      </c>
      <c r="H7">
        <v>500000</v>
      </c>
      <c r="I7">
        <v>1</v>
      </c>
    </row>
  </sheetData>
  <ignoredErrors>
    <ignoredError numberStoredAsText="1" sqref="A1:I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Year</v>
      </c>
      <c r="B1" t="str">
        <v>Subject Premium</v>
      </c>
      <c r="C1" t="str">
        <v>Ceded Premium</v>
      </c>
      <c r="D1" t="str">
        <v>Ceded Loss</v>
      </c>
      <c r="E1" t="str">
        <v>Ceded ALAE</v>
      </c>
      <c r="F1" t="str">
        <v>Net Ceded</v>
      </c>
      <c r="G1" t="str">
        <v>Cession Ratio</v>
      </c>
      <c r="H1" t="str">
        <v>Recovery Ratio</v>
      </c>
    </row>
    <row r="2">
      <c r="A2">
        <v>2020</v>
      </c>
      <c r="B2">
        <f>[pricing-model.xlsx]'Premium Summary'!E2</f>
        <v>0</v>
      </c>
      <c r="C2">
        <f>'Cession QS 30'!B2*'Treaty Structure'!E2</f>
        <v>0</v>
      </c>
      <c r="D2">
        <f>[reserve-model.xlsx]'Reserve Summary'!B2*'Treaty Structure'!F2*0.30</f>
        <v>0</v>
      </c>
      <c r="E2">
        <f>'Cession QS 30'!D2*0.08</f>
        <v>0</v>
      </c>
      <c r="F2">
        <f>'Cession QS 30'!C2-'Cession QS 30'!D2-'Cession QS 30'!E2</f>
        <v>0</v>
      </c>
      <c r="G2">
        <f>'Cession QS 30'!C2/'Cession QS 30'!B2</f>
        <v>0</v>
      </c>
      <c r="H2">
        <f>('Cession QS 30'!D2+'Cession QS 30'!E2)/'Cession QS 30'!C2</f>
        <v>0</v>
      </c>
    </row>
    <row r="3">
      <c r="A3">
        <v>2021</v>
      </c>
      <c r="B3">
        <f>[pricing-model.xlsx]'Premium Summary'!E3</f>
        <v>0</v>
      </c>
      <c r="C3">
        <f>'Cession QS 30'!B3*'Treaty Structure'!E2</f>
        <v>0</v>
      </c>
      <c r="D3">
        <f>[reserve-model.xlsx]'Reserve Summary'!B2*'Treaty Structure'!F2*0.35</f>
        <v>0</v>
      </c>
      <c r="E3">
        <f>'Cession QS 30'!D3*0.08</f>
        <v>0</v>
      </c>
      <c r="F3">
        <f>'Cession QS 30'!C3-'Cession QS 30'!D3-'Cession QS 30'!E3</f>
        <v>0</v>
      </c>
      <c r="G3">
        <f>'Cession QS 30'!C3/'Cession QS 30'!B3</f>
        <v>0</v>
      </c>
      <c r="H3">
        <f>('Cession QS 30'!D3+'Cession QS 30'!E3)/'Cession QS 30'!C3</f>
        <v>0</v>
      </c>
    </row>
    <row r="4">
      <c r="A4">
        <v>2022</v>
      </c>
      <c r="B4">
        <f>[pricing-model.xlsx]'Premium Summary'!E4</f>
        <v>0</v>
      </c>
      <c r="C4">
        <f>'Cession QS 30'!B4*'Treaty Structure'!E2</f>
        <v>0</v>
      </c>
      <c r="D4">
        <f>[reserve-model.xlsx]'Reserve Summary'!B2*'Treaty Structure'!F2*0.40</f>
        <v>0</v>
      </c>
      <c r="E4">
        <f>'Cession QS 30'!D4*0.08</f>
        <v>0</v>
      </c>
      <c r="F4">
        <f>'Cession QS 30'!C4-'Cession QS 30'!D4-'Cession QS 30'!E4</f>
        <v>0</v>
      </c>
      <c r="G4">
        <f>'Cession QS 30'!C4/'Cession QS 30'!B4</f>
        <v>0</v>
      </c>
      <c r="H4">
        <f>('Cession QS 30'!D4+'Cession QS 30'!E4)/'Cession QS 30'!C4</f>
        <v>0</v>
      </c>
    </row>
    <row r="5">
      <c r="A5">
        <v>2023</v>
      </c>
      <c r="B5">
        <f>[pricing-model.xlsx]'Premium Summary'!E5</f>
        <v>0</v>
      </c>
      <c r="C5">
        <f>'Cession QS 30'!B5*'Treaty Structure'!E2</f>
        <v>0</v>
      </c>
      <c r="D5">
        <f>[reserve-model.xlsx]'Reserve Summary'!B2*'Treaty Structure'!F2*0.45</f>
        <v>0</v>
      </c>
      <c r="E5">
        <f>'Cession QS 30'!D5*0.08</f>
        <v>0</v>
      </c>
      <c r="F5">
        <f>'Cession QS 30'!C5-'Cession QS 30'!D5-'Cession QS 30'!E5</f>
        <v>0</v>
      </c>
      <c r="G5">
        <f>'Cession QS 30'!C5/'Cession QS 30'!B5</f>
        <v>0</v>
      </c>
      <c r="H5">
        <f>('Cession QS 30'!D5+'Cession QS 30'!E5)/'Cession QS 30'!C5</f>
        <v>0</v>
      </c>
    </row>
    <row r="6">
      <c r="A6">
        <v>2024</v>
      </c>
      <c r="B6">
        <f>[pricing-model.xlsx]'Premium Summary'!E6</f>
        <v>0</v>
      </c>
      <c r="C6">
        <f>'Cession QS 30'!B6*'Treaty Structure'!E2</f>
        <v>0</v>
      </c>
      <c r="D6">
        <f>[reserve-model.xlsx]'Reserve Summary'!B2*'Treaty Structure'!F2*0.50</f>
        <v>0</v>
      </c>
      <c r="E6">
        <f>'Cession QS 30'!D6*0.08</f>
        <v>0</v>
      </c>
      <c r="F6">
        <f>'Cession QS 30'!C6-'Cession QS 30'!D6-'Cession QS 30'!E6</f>
        <v>0</v>
      </c>
      <c r="G6">
        <f>'Cession QS 30'!C6/'Cession QS 30'!B6</f>
        <v>0</v>
      </c>
      <c r="H6">
        <f>('Cession QS 30'!D6+'Cession QS 30'!E6)/'Cession QS 30'!C6</f>
        <v>0</v>
      </c>
    </row>
    <row r="7">
      <c r="A7">
        <v>2025</v>
      </c>
      <c r="B7">
        <f>[pricing-model.xlsx]'Premium Summary'!E7</f>
        <v>0</v>
      </c>
      <c r="C7">
        <f>'Cession QS 30'!B7*'Treaty Structure'!E2</f>
        <v>0</v>
      </c>
      <c r="D7">
        <f>[reserve-model.xlsx]'Reserve Summary'!B2*'Treaty Structure'!F2*0.55</f>
        <v>0</v>
      </c>
      <c r="E7">
        <f>'Cession QS 30'!D7*0.08</f>
        <v>0</v>
      </c>
      <c r="F7">
        <f>'Cession QS 30'!C7-'Cession QS 30'!D7-'Cession QS 30'!E7</f>
        <v>0</v>
      </c>
      <c r="G7">
        <f>'Cession QS 30'!C7/'Cession QS 30'!B7</f>
        <v>0</v>
      </c>
      <c r="H7">
        <f>('Cession QS 30'!D7+'Cession QS 30'!E7)/'Cession QS 30'!C7</f>
        <v>0</v>
      </c>
    </row>
    <row r="8">
      <c r="A8">
        <v>2026</v>
      </c>
      <c r="B8">
        <f>[pricing-model.xlsx]'Premium Summary'!E8</f>
        <v>0</v>
      </c>
      <c r="C8">
        <f>'Cession QS 30'!B8*'Treaty Structure'!E2</f>
        <v>0</v>
      </c>
      <c r="D8">
        <f>[reserve-model.xlsx]'Reserve Summary'!B2*'Treaty Structure'!F2*0.60</f>
        <v>0</v>
      </c>
      <c r="E8">
        <f>'Cession QS 30'!D8*0.08</f>
        <v>0</v>
      </c>
      <c r="F8">
        <f>'Cession QS 30'!C8-'Cession QS 30'!D8-'Cession QS 30'!E8</f>
        <v>0</v>
      </c>
      <c r="G8">
        <f>'Cession QS 30'!C8/'Cession QS 30'!B8</f>
        <v>0</v>
      </c>
      <c r="H8">
        <f>('Cession QS 30'!D8+'Cession QS 30'!E8)/'Cession QS 30'!C8</f>
        <v>0</v>
      </c>
    </row>
  </sheetData>
  <ignoredErrors>
    <ignoredError numberStoredAsText="1" sqref="A1:H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Year</v>
      </c>
      <c r="B1" t="str">
        <v>Subject Premium</v>
      </c>
      <c r="C1" t="str">
        <v>Ceded Premium</v>
      </c>
      <c r="D1" t="str">
        <v>Ceded Loss</v>
      </c>
      <c r="E1" t="str">
        <v>Ceded ALAE</v>
      </c>
      <c r="F1" t="str">
        <v>Net Ceded</v>
      </c>
      <c r="G1" t="str">
        <v>Cession Ratio</v>
      </c>
      <c r="H1" t="str">
        <v>Recovery Ratio</v>
      </c>
    </row>
    <row r="2">
      <c r="A2">
        <v>2020</v>
      </c>
      <c r="B2">
        <f>[pricing-model.xlsx]'Premium Summary'!E2</f>
        <v>0</v>
      </c>
      <c r="C2">
        <f>'Cession Per Occ 500xs500'!B2*'Treaty Structure'!E3</f>
        <v>0</v>
      </c>
      <c r="D2">
        <f>[reserve-model.xlsx]'Reserve Summary'!B3*'Treaty Structure'!F3*0.30</f>
        <v>0</v>
      </c>
      <c r="E2">
        <f>'Cession Per Occ 500xs500'!D2*0.08</f>
        <v>0</v>
      </c>
      <c r="F2">
        <f>'Cession Per Occ 500xs500'!C2-'Cession Per Occ 500xs500'!D2-'Cession Per Occ 500xs500'!E2</f>
        <v>0</v>
      </c>
      <c r="G2">
        <f>'Cession Per Occ 500xs500'!C2/'Cession Per Occ 500xs500'!B2</f>
        <v>0</v>
      </c>
      <c r="H2">
        <f>('Cession Per Occ 500xs500'!D2+'Cession Per Occ 500xs500'!E2)/'Cession Per Occ 500xs500'!C2</f>
        <v>0</v>
      </c>
    </row>
    <row r="3">
      <c r="A3">
        <v>2021</v>
      </c>
      <c r="B3">
        <f>[pricing-model.xlsx]'Premium Summary'!E3</f>
        <v>0</v>
      </c>
      <c r="C3">
        <f>'Cession Per Occ 500xs500'!B3*'Treaty Structure'!E3</f>
        <v>0</v>
      </c>
      <c r="D3">
        <f>[reserve-model.xlsx]'Reserve Summary'!B3*'Treaty Structure'!F3*0.35</f>
        <v>0</v>
      </c>
      <c r="E3">
        <f>'Cession Per Occ 500xs500'!D3*0.08</f>
        <v>0</v>
      </c>
      <c r="F3">
        <f>'Cession Per Occ 500xs500'!C3-'Cession Per Occ 500xs500'!D3-'Cession Per Occ 500xs500'!E3</f>
        <v>0</v>
      </c>
      <c r="G3">
        <f>'Cession Per Occ 500xs500'!C3/'Cession Per Occ 500xs500'!B3</f>
        <v>0</v>
      </c>
      <c r="H3">
        <f>('Cession Per Occ 500xs500'!D3+'Cession Per Occ 500xs500'!E3)/'Cession Per Occ 500xs500'!C3</f>
        <v>0</v>
      </c>
    </row>
    <row r="4">
      <c r="A4">
        <v>2022</v>
      </c>
      <c r="B4">
        <f>[pricing-model.xlsx]'Premium Summary'!E4</f>
        <v>0</v>
      </c>
      <c r="C4">
        <f>'Cession Per Occ 500xs500'!B4*'Treaty Structure'!E3</f>
        <v>0</v>
      </c>
      <c r="D4">
        <f>[reserve-model.xlsx]'Reserve Summary'!B3*'Treaty Structure'!F3*0.40</f>
        <v>0</v>
      </c>
      <c r="E4">
        <f>'Cession Per Occ 500xs500'!D4*0.08</f>
        <v>0</v>
      </c>
      <c r="F4">
        <f>'Cession Per Occ 500xs500'!C4-'Cession Per Occ 500xs500'!D4-'Cession Per Occ 500xs500'!E4</f>
        <v>0</v>
      </c>
      <c r="G4">
        <f>'Cession Per Occ 500xs500'!C4/'Cession Per Occ 500xs500'!B4</f>
        <v>0</v>
      </c>
      <c r="H4">
        <f>('Cession Per Occ 500xs500'!D4+'Cession Per Occ 500xs500'!E4)/'Cession Per Occ 500xs500'!C4</f>
        <v>0</v>
      </c>
    </row>
    <row r="5">
      <c r="A5">
        <v>2023</v>
      </c>
      <c r="B5">
        <f>[pricing-model.xlsx]'Premium Summary'!E5</f>
        <v>0</v>
      </c>
      <c r="C5">
        <f>'Cession Per Occ 500xs500'!B5*'Treaty Structure'!E3</f>
        <v>0</v>
      </c>
      <c r="D5">
        <f>[reserve-model.xlsx]'Reserve Summary'!B3*'Treaty Structure'!F3*0.45</f>
        <v>0</v>
      </c>
      <c r="E5">
        <f>'Cession Per Occ 500xs500'!D5*0.08</f>
        <v>0</v>
      </c>
      <c r="F5">
        <f>'Cession Per Occ 500xs500'!C5-'Cession Per Occ 500xs500'!D5-'Cession Per Occ 500xs500'!E5</f>
        <v>0</v>
      </c>
      <c r="G5">
        <f>'Cession Per Occ 500xs500'!C5/'Cession Per Occ 500xs500'!B5</f>
        <v>0</v>
      </c>
      <c r="H5">
        <f>('Cession Per Occ 500xs500'!D5+'Cession Per Occ 500xs500'!E5)/'Cession Per Occ 500xs500'!C5</f>
        <v>0</v>
      </c>
    </row>
    <row r="6">
      <c r="A6">
        <v>2024</v>
      </c>
      <c r="B6">
        <f>[pricing-model.xlsx]'Premium Summary'!E6</f>
        <v>0</v>
      </c>
      <c r="C6">
        <f>'Cession Per Occ 500xs500'!B6*'Treaty Structure'!E3</f>
        <v>0</v>
      </c>
      <c r="D6">
        <f>[reserve-model.xlsx]'Reserve Summary'!B3*'Treaty Structure'!F3*0.50</f>
        <v>0</v>
      </c>
      <c r="E6">
        <f>'Cession Per Occ 500xs500'!D6*0.08</f>
        <v>0</v>
      </c>
      <c r="F6">
        <f>'Cession Per Occ 500xs500'!C6-'Cession Per Occ 500xs500'!D6-'Cession Per Occ 500xs500'!E6</f>
        <v>0</v>
      </c>
      <c r="G6">
        <f>'Cession Per Occ 500xs500'!C6/'Cession Per Occ 500xs500'!B6</f>
        <v>0</v>
      </c>
      <c r="H6">
        <f>('Cession Per Occ 500xs500'!D6+'Cession Per Occ 500xs500'!E6)/'Cession Per Occ 500xs500'!C6</f>
        <v>0</v>
      </c>
    </row>
    <row r="7">
      <c r="A7">
        <v>2025</v>
      </c>
      <c r="B7">
        <f>[pricing-model.xlsx]'Premium Summary'!E7</f>
        <v>0</v>
      </c>
      <c r="C7">
        <f>'Cession Per Occ 500xs500'!B7*'Treaty Structure'!E3</f>
        <v>0</v>
      </c>
      <c r="D7">
        <f>[reserve-model.xlsx]'Reserve Summary'!B3*'Treaty Structure'!F3*0.55</f>
        <v>0</v>
      </c>
      <c r="E7">
        <f>'Cession Per Occ 500xs500'!D7*0.08</f>
        <v>0</v>
      </c>
      <c r="F7">
        <f>'Cession Per Occ 500xs500'!C7-'Cession Per Occ 500xs500'!D7-'Cession Per Occ 500xs500'!E7</f>
        <v>0</v>
      </c>
      <c r="G7">
        <f>'Cession Per Occ 500xs500'!C7/'Cession Per Occ 500xs500'!B7</f>
        <v>0</v>
      </c>
      <c r="H7">
        <f>('Cession Per Occ 500xs500'!D7+'Cession Per Occ 500xs500'!E7)/'Cession Per Occ 500xs500'!C7</f>
        <v>0</v>
      </c>
    </row>
    <row r="8">
      <c r="A8">
        <v>2026</v>
      </c>
      <c r="B8">
        <f>[pricing-model.xlsx]'Premium Summary'!E8</f>
        <v>0</v>
      </c>
      <c r="C8">
        <f>'Cession Per Occ 500xs500'!B8*'Treaty Structure'!E3</f>
        <v>0</v>
      </c>
      <c r="D8">
        <f>[reserve-model.xlsx]'Reserve Summary'!B3*'Treaty Structure'!F3*0.60</f>
        <v>0</v>
      </c>
      <c r="E8">
        <f>'Cession Per Occ 500xs500'!D8*0.08</f>
        <v>0</v>
      </c>
      <c r="F8">
        <f>'Cession Per Occ 500xs500'!C8-'Cession Per Occ 500xs500'!D8-'Cession Per Occ 500xs500'!E8</f>
        <v>0</v>
      </c>
      <c r="G8">
        <f>'Cession Per Occ 500xs500'!C8/'Cession Per Occ 500xs500'!B8</f>
        <v>0</v>
      </c>
      <c r="H8">
        <f>('Cession Per Occ 500xs500'!D8+'Cession Per Occ 500xs500'!E8)/'Cession Per Occ 500xs500'!C8</f>
        <v>0</v>
      </c>
    </row>
  </sheetData>
  <ignoredErrors>
    <ignoredError numberStoredAsText="1" sqref="A1:H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Year</v>
      </c>
      <c r="B1" t="str">
        <v>Subject Premium</v>
      </c>
      <c r="C1" t="str">
        <v>Ceded Premium</v>
      </c>
      <c r="D1" t="str">
        <v>Ceded Loss</v>
      </c>
      <c r="E1" t="str">
        <v>Ceded ALAE</v>
      </c>
      <c r="F1" t="str">
        <v>Net Ceded</v>
      </c>
      <c r="G1" t="str">
        <v>Cession Ratio</v>
      </c>
      <c r="H1" t="str">
        <v>Recovery Ratio</v>
      </c>
    </row>
    <row r="2">
      <c r="A2">
        <v>2020</v>
      </c>
      <c r="B2">
        <f>[pricing-model.xlsx]'Premium Summary'!E2</f>
        <v>0</v>
      </c>
      <c r="C2">
        <f>'Cession Per Occ 2Mxs1M'!B2*'Treaty Structure'!E4</f>
        <v>0</v>
      </c>
      <c r="D2">
        <f>[reserve-model.xlsx]'Reserve Summary'!B4*'Treaty Structure'!F4*0.30</f>
        <v>0</v>
      </c>
      <c r="E2">
        <f>'Cession Per Occ 2Mxs1M'!D2*0.08</f>
        <v>0</v>
      </c>
      <c r="F2">
        <f>'Cession Per Occ 2Mxs1M'!C2-'Cession Per Occ 2Mxs1M'!D2-'Cession Per Occ 2Mxs1M'!E2</f>
        <v>0</v>
      </c>
      <c r="G2">
        <f>'Cession Per Occ 2Mxs1M'!C2/'Cession Per Occ 2Mxs1M'!B2</f>
        <v>0</v>
      </c>
      <c r="H2">
        <f>('Cession Per Occ 2Mxs1M'!D2+'Cession Per Occ 2Mxs1M'!E2)/'Cession Per Occ 2Mxs1M'!C2</f>
        <v>0</v>
      </c>
    </row>
    <row r="3">
      <c r="A3">
        <v>2021</v>
      </c>
      <c r="B3">
        <f>[pricing-model.xlsx]'Premium Summary'!E3</f>
        <v>0</v>
      </c>
      <c r="C3">
        <f>'Cession Per Occ 2Mxs1M'!B3*'Treaty Structure'!E4</f>
        <v>0</v>
      </c>
      <c r="D3">
        <f>[reserve-model.xlsx]'Reserve Summary'!B4*'Treaty Structure'!F4*0.35</f>
        <v>0</v>
      </c>
      <c r="E3">
        <f>'Cession Per Occ 2Mxs1M'!D3*0.08</f>
        <v>0</v>
      </c>
      <c r="F3">
        <f>'Cession Per Occ 2Mxs1M'!C3-'Cession Per Occ 2Mxs1M'!D3-'Cession Per Occ 2Mxs1M'!E3</f>
        <v>0</v>
      </c>
      <c r="G3">
        <f>'Cession Per Occ 2Mxs1M'!C3/'Cession Per Occ 2Mxs1M'!B3</f>
        <v>0</v>
      </c>
      <c r="H3">
        <f>('Cession Per Occ 2Mxs1M'!D3+'Cession Per Occ 2Mxs1M'!E3)/'Cession Per Occ 2Mxs1M'!C3</f>
        <v>0</v>
      </c>
    </row>
    <row r="4">
      <c r="A4">
        <v>2022</v>
      </c>
      <c r="B4">
        <f>[pricing-model.xlsx]'Premium Summary'!E4</f>
        <v>0</v>
      </c>
      <c r="C4">
        <f>'Cession Per Occ 2Mxs1M'!B4*'Treaty Structure'!E4</f>
        <v>0</v>
      </c>
      <c r="D4">
        <f>[reserve-model.xlsx]'Reserve Summary'!B4*'Treaty Structure'!F4*0.40</f>
        <v>0</v>
      </c>
      <c r="E4">
        <f>'Cession Per Occ 2Mxs1M'!D4*0.08</f>
        <v>0</v>
      </c>
      <c r="F4">
        <f>'Cession Per Occ 2Mxs1M'!C4-'Cession Per Occ 2Mxs1M'!D4-'Cession Per Occ 2Mxs1M'!E4</f>
        <v>0</v>
      </c>
      <c r="G4">
        <f>'Cession Per Occ 2Mxs1M'!C4/'Cession Per Occ 2Mxs1M'!B4</f>
        <v>0</v>
      </c>
      <c r="H4">
        <f>('Cession Per Occ 2Mxs1M'!D4+'Cession Per Occ 2Mxs1M'!E4)/'Cession Per Occ 2Mxs1M'!C4</f>
        <v>0</v>
      </c>
    </row>
    <row r="5">
      <c r="A5">
        <v>2023</v>
      </c>
      <c r="B5">
        <f>[pricing-model.xlsx]'Premium Summary'!E5</f>
        <v>0</v>
      </c>
      <c r="C5">
        <f>'Cession Per Occ 2Mxs1M'!B5*'Treaty Structure'!E4</f>
        <v>0</v>
      </c>
      <c r="D5">
        <f>[reserve-model.xlsx]'Reserve Summary'!B4*'Treaty Structure'!F4*0.45</f>
        <v>0</v>
      </c>
      <c r="E5">
        <f>'Cession Per Occ 2Mxs1M'!D5*0.08</f>
        <v>0</v>
      </c>
      <c r="F5">
        <f>'Cession Per Occ 2Mxs1M'!C5-'Cession Per Occ 2Mxs1M'!D5-'Cession Per Occ 2Mxs1M'!E5</f>
        <v>0</v>
      </c>
      <c r="G5">
        <f>'Cession Per Occ 2Mxs1M'!C5/'Cession Per Occ 2Mxs1M'!B5</f>
        <v>0</v>
      </c>
      <c r="H5">
        <f>('Cession Per Occ 2Mxs1M'!D5+'Cession Per Occ 2Mxs1M'!E5)/'Cession Per Occ 2Mxs1M'!C5</f>
        <v>0</v>
      </c>
    </row>
    <row r="6">
      <c r="A6">
        <v>2024</v>
      </c>
      <c r="B6">
        <f>[pricing-model.xlsx]'Premium Summary'!E6</f>
        <v>0</v>
      </c>
      <c r="C6">
        <f>'Cession Per Occ 2Mxs1M'!B6*'Treaty Structure'!E4</f>
        <v>0</v>
      </c>
      <c r="D6">
        <f>[reserve-model.xlsx]'Reserve Summary'!B4*'Treaty Structure'!F4*0.50</f>
        <v>0</v>
      </c>
      <c r="E6">
        <f>'Cession Per Occ 2Mxs1M'!D6*0.08</f>
        <v>0</v>
      </c>
      <c r="F6">
        <f>'Cession Per Occ 2Mxs1M'!C6-'Cession Per Occ 2Mxs1M'!D6-'Cession Per Occ 2Mxs1M'!E6</f>
        <v>0</v>
      </c>
      <c r="G6">
        <f>'Cession Per Occ 2Mxs1M'!C6/'Cession Per Occ 2Mxs1M'!B6</f>
        <v>0</v>
      </c>
      <c r="H6">
        <f>('Cession Per Occ 2Mxs1M'!D6+'Cession Per Occ 2Mxs1M'!E6)/'Cession Per Occ 2Mxs1M'!C6</f>
        <v>0</v>
      </c>
    </row>
    <row r="7">
      <c r="A7">
        <v>2025</v>
      </c>
      <c r="B7">
        <f>[pricing-model.xlsx]'Premium Summary'!E7</f>
        <v>0</v>
      </c>
      <c r="C7">
        <f>'Cession Per Occ 2Mxs1M'!B7*'Treaty Structure'!E4</f>
        <v>0</v>
      </c>
      <c r="D7">
        <f>[reserve-model.xlsx]'Reserve Summary'!B4*'Treaty Structure'!F4*0.55</f>
        <v>0</v>
      </c>
      <c r="E7">
        <f>'Cession Per Occ 2Mxs1M'!D7*0.08</f>
        <v>0</v>
      </c>
      <c r="F7">
        <f>'Cession Per Occ 2Mxs1M'!C7-'Cession Per Occ 2Mxs1M'!D7-'Cession Per Occ 2Mxs1M'!E7</f>
        <v>0</v>
      </c>
      <c r="G7">
        <f>'Cession Per Occ 2Mxs1M'!C7/'Cession Per Occ 2Mxs1M'!B7</f>
        <v>0</v>
      </c>
      <c r="H7">
        <f>('Cession Per Occ 2Mxs1M'!D7+'Cession Per Occ 2Mxs1M'!E7)/'Cession Per Occ 2Mxs1M'!C7</f>
        <v>0</v>
      </c>
    </row>
    <row r="8">
      <c r="A8">
        <v>2026</v>
      </c>
      <c r="B8">
        <f>[pricing-model.xlsx]'Premium Summary'!E8</f>
        <v>0</v>
      </c>
      <c r="C8">
        <f>'Cession Per Occ 2Mxs1M'!B8*'Treaty Structure'!E4</f>
        <v>0</v>
      </c>
      <c r="D8">
        <f>[reserve-model.xlsx]'Reserve Summary'!B4*'Treaty Structure'!F4*0.60</f>
        <v>0</v>
      </c>
      <c r="E8">
        <f>'Cession Per Occ 2Mxs1M'!D8*0.08</f>
        <v>0</v>
      </c>
      <c r="F8">
        <f>'Cession Per Occ 2Mxs1M'!C8-'Cession Per Occ 2Mxs1M'!D8-'Cession Per Occ 2Mxs1M'!E8</f>
        <v>0</v>
      </c>
      <c r="G8">
        <f>'Cession Per Occ 2Mxs1M'!C8/'Cession Per Occ 2Mxs1M'!B8</f>
        <v>0</v>
      </c>
      <c r="H8">
        <f>('Cession Per Occ 2Mxs1M'!D8+'Cession Per Occ 2Mxs1M'!E8)/'Cession Per Occ 2Mxs1M'!C8</f>
        <v>0</v>
      </c>
    </row>
  </sheetData>
  <ignoredErrors>
    <ignoredError numberStoredAsText="1" sqref="A1:H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Year</v>
      </c>
      <c r="B1" t="str">
        <v>Subject Premium</v>
      </c>
      <c r="C1" t="str">
        <v>Ceded Premium</v>
      </c>
      <c r="D1" t="str">
        <v>Ceded Loss</v>
      </c>
      <c r="E1" t="str">
        <v>Ceded ALAE</v>
      </c>
      <c r="F1" t="str">
        <v>Net Ceded</v>
      </c>
      <c r="G1" t="str">
        <v>Cession Ratio</v>
      </c>
      <c r="H1" t="str">
        <v>Recovery Ratio</v>
      </c>
    </row>
    <row r="2">
      <c r="A2">
        <v>2020</v>
      </c>
      <c r="B2">
        <f>[pricing-model.xlsx]'Premium Summary'!E2</f>
        <v>0</v>
      </c>
      <c r="C2">
        <f>'Cession Cat 10Mxs5M'!B2*'Treaty Structure'!E5</f>
        <v>0</v>
      </c>
      <c r="D2">
        <f>[reserve-model.xlsx]'Reserve Summary'!B5*'Treaty Structure'!F5*0.30</f>
        <v>0</v>
      </c>
      <c r="E2">
        <f>'Cession Cat 10Mxs5M'!D2*0.08</f>
        <v>0</v>
      </c>
      <c r="F2">
        <f>'Cession Cat 10Mxs5M'!C2-'Cession Cat 10Mxs5M'!D2-'Cession Cat 10Mxs5M'!E2</f>
        <v>0</v>
      </c>
      <c r="G2">
        <f>'Cession Cat 10Mxs5M'!C2/'Cession Cat 10Mxs5M'!B2</f>
        <v>0</v>
      </c>
      <c r="H2">
        <f>('Cession Cat 10Mxs5M'!D2+'Cession Cat 10Mxs5M'!E2)/'Cession Cat 10Mxs5M'!C2</f>
        <v>0</v>
      </c>
    </row>
    <row r="3">
      <c r="A3">
        <v>2021</v>
      </c>
      <c r="B3">
        <f>[pricing-model.xlsx]'Premium Summary'!E3</f>
        <v>0</v>
      </c>
      <c r="C3">
        <f>'Cession Cat 10Mxs5M'!B3*'Treaty Structure'!E5</f>
        <v>0</v>
      </c>
      <c r="D3">
        <f>[reserve-model.xlsx]'Reserve Summary'!B5*'Treaty Structure'!F5*0.35</f>
        <v>0</v>
      </c>
      <c r="E3">
        <f>'Cession Cat 10Mxs5M'!D3*0.08</f>
        <v>0</v>
      </c>
      <c r="F3">
        <f>'Cession Cat 10Mxs5M'!C3-'Cession Cat 10Mxs5M'!D3-'Cession Cat 10Mxs5M'!E3</f>
        <v>0</v>
      </c>
      <c r="G3">
        <f>'Cession Cat 10Mxs5M'!C3/'Cession Cat 10Mxs5M'!B3</f>
        <v>0</v>
      </c>
      <c r="H3">
        <f>('Cession Cat 10Mxs5M'!D3+'Cession Cat 10Mxs5M'!E3)/'Cession Cat 10Mxs5M'!C3</f>
        <v>0</v>
      </c>
    </row>
    <row r="4">
      <c r="A4">
        <v>2022</v>
      </c>
      <c r="B4">
        <f>[pricing-model.xlsx]'Premium Summary'!E4</f>
        <v>0</v>
      </c>
      <c r="C4">
        <f>'Cession Cat 10Mxs5M'!B4*'Treaty Structure'!E5</f>
        <v>0</v>
      </c>
      <c r="D4">
        <f>[reserve-model.xlsx]'Reserve Summary'!B5*'Treaty Structure'!F5*0.40</f>
        <v>0</v>
      </c>
      <c r="E4">
        <f>'Cession Cat 10Mxs5M'!D4*0.08</f>
        <v>0</v>
      </c>
      <c r="F4">
        <f>'Cession Cat 10Mxs5M'!C4-'Cession Cat 10Mxs5M'!D4-'Cession Cat 10Mxs5M'!E4</f>
        <v>0</v>
      </c>
      <c r="G4">
        <f>'Cession Cat 10Mxs5M'!C4/'Cession Cat 10Mxs5M'!B4</f>
        <v>0</v>
      </c>
      <c r="H4">
        <f>('Cession Cat 10Mxs5M'!D4+'Cession Cat 10Mxs5M'!E4)/'Cession Cat 10Mxs5M'!C4</f>
        <v>0</v>
      </c>
    </row>
    <row r="5">
      <c r="A5">
        <v>2023</v>
      </c>
      <c r="B5">
        <f>[pricing-model.xlsx]'Premium Summary'!E5</f>
        <v>0</v>
      </c>
      <c r="C5">
        <f>'Cession Cat 10Mxs5M'!B5*'Treaty Structure'!E5</f>
        <v>0</v>
      </c>
      <c r="D5">
        <f>[reserve-model.xlsx]'Reserve Summary'!B5*'Treaty Structure'!F5*0.45</f>
        <v>0</v>
      </c>
      <c r="E5">
        <f>'Cession Cat 10Mxs5M'!D5*0.08</f>
        <v>0</v>
      </c>
      <c r="F5">
        <f>'Cession Cat 10Mxs5M'!C5-'Cession Cat 10Mxs5M'!D5-'Cession Cat 10Mxs5M'!E5</f>
        <v>0</v>
      </c>
      <c r="G5">
        <f>'Cession Cat 10Mxs5M'!C5/'Cession Cat 10Mxs5M'!B5</f>
        <v>0</v>
      </c>
      <c r="H5">
        <f>('Cession Cat 10Mxs5M'!D5+'Cession Cat 10Mxs5M'!E5)/'Cession Cat 10Mxs5M'!C5</f>
        <v>0</v>
      </c>
    </row>
    <row r="6">
      <c r="A6">
        <v>2024</v>
      </c>
      <c r="B6">
        <f>[pricing-model.xlsx]'Premium Summary'!E6</f>
        <v>0</v>
      </c>
      <c r="C6">
        <f>'Cession Cat 10Mxs5M'!B6*'Treaty Structure'!E5</f>
        <v>0</v>
      </c>
      <c r="D6">
        <f>[reserve-model.xlsx]'Reserve Summary'!B5*'Treaty Structure'!F5*0.50</f>
        <v>0</v>
      </c>
      <c r="E6">
        <f>'Cession Cat 10Mxs5M'!D6*0.08</f>
        <v>0</v>
      </c>
      <c r="F6">
        <f>'Cession Cat 10Mxs5M'!C6-'Cession Cat 10Mxs5M'!D6-'Cession Cat 10Mxs5M'!E6</f>
        <v>0</v>
      </c>
      <c r="G6">
        <f>'Cession Cat 10Mxs5M'!C6/'Cession Cat 10Mxs5M'!B6</f>
        <v>0</v>
      </c>
      <c r="H6">
        <f>('Cession Cat 10Mxs5M'!D6+'Cession Cat 10Mxs5M'!E6)/'Cession Cat 10Mxs5M'!C6</f>
        <v>0</v>
      </c>
    </row>
    <row r="7">
      <c r="A7">
        <v>2025</v>
      </c>
      <c r="B7">
        <f>[pricing-model.xlsx]'Premium Summary'!E7</f>
        <v>0</v>
      </c>
      <c r="C7">
        <f>'Cession Cat 10Mxs5M'!B7*'Treaty Structure'!E5</f>
        <v>0</v>
      </c>
      <c r="D7">
        <f>[reserve-model.xlsx]'Reserve Summary'!B5*'Treaty Structure'!F5*0.55</f>
        <v>0</v>
      </c>
      <c r="E7">
        <f>'Cession Cat 10Mxs5M'!D7*0.08</f>
        <v>0</v>
      </c>
      <c r="F7">
        <f>'Cession Cat 10Mxs5M'!C7-'Cession Cat 10Mxs5M'!D7-'Cession Cat 10Mxs5M'!E7</f>
        <v>0</v>
      </c>
      <c r="G7">
        <f>'Cession Cat 10Mxs5M'!C7/'Cession Cat 10Mxs5M'!B7</f>
        <v>0</v>
      </c>
      <c r="H7">
        <f>('Cession Cat 10Mxs5M'!D7+'Cession Cat 10Mxs5M'!E7)/'Cession Cat 10Mxs5M'!C7</f>
        <v>0</v>
      </c>
    </row>
    <row r="8">
      <c r="A8">
        <v>2026</v>
      </c>
      <c r="B8">
        <f>[pricing-model.xlsx]'Premium Summary'!E8</f>
        <v>0</v>
      </c>
      <c r="C8">
        <f>'Cession Cat 10Mxs5M'!B8*'Treaty Structure'!E5</f>
        <v>0</v>
      </c>
      <c r="D8">
        <f>[reserve-model.xlsx]'Reserve Summary'!B5*'Treaty Structure'!F5*0.60</f>
        <v>0</v>
      </c>
      <c r="E8">
        <f>'Cession Cat 10Mxs5M'!D8*0.08</f>
        <v>0</v>
      </c>
      <c r="F8">
        <f>'Cession Cat 10Mxs5M'!C8-'Cession Cat 10Mxs5M'!D8-'Cession Cat 10Mxs5M'!E8</f>
        <v>0</v>
      </c>
      <c r="G8">
        <f>'Cession Cat 10Mxs5M'!C8/'Cession Cat 10Mxs5M'!B8</f>
        <v>0</v>
      </c>
      <c r="H8">
        <f>('Cession Cat 10Mxs5M'!D8+'Cession Cat 10Mxs5M'!E8)/'Cession Cat 10Mxs5M'!C8</f>
        <v>0</v>
      </c>
    </row>
  </sheetData>
  <ignoredErrors>
    <ignoredError numberStoredAsText="1" sqref="A1:H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Year</v>
      </c>
      <c r="B1" t="str">
        <v>Subject Premium</v>
      </c>
      <c r="C1" t="str">
        <v>Ceded Premium</v>
      </c>
      <c r="D1" t="str">
        <v>Ceded Loss</v>
      </c>
      <c r="E1" t="str">
        <v>Ceded ALAE</v>
      </c>
      <c r="F1" t="str">
        <v>Net Ceded</v>
      </c>
      <c r="G1" t="str">
        <v>Cession Ratio</v>
      </c>
      <c r="H1" t="str">
        <v>Recovery Ratio</v>
      </c>
    </row>
    <row r="2">
      <c r="A2">
        <v>2020</v>
      </c>
      <c r="B2">
        <f>[pricing-model.xlsx]'Premium Summary'!E2</f>
        <v>0</v>
      </c>
      <c r="C2">
        <f>'Cession Cat 25Mxs15M'!B2*'Treaty Structure'!E6</f>
        <v>0</v>
      </c>
      <c r="D2">
        <f>[reserve-model.xlsx]'Reserve Summary'!B6*'Treaty Structure'!F6*0.30</f>
        <v>0</v>
      </c>
      <c r="E2">
        <f>'Cession Cat 25Mxs15M'!D2*0.08</f>
        <v>0</v>
      </c>
      <c r="F2">
        <f>'Cession Cat 25Mxs15M'!C2-'Cession Cat 25Mxs15M'!D2-'Cession Cat 25Mxs15M'!E2</f>
        <v>0</v>
      </c>
      <c r="G2">
        <f>'Cession Cat 25Mxs15M'!C2/'Cession Cat 25Mxs15M'!B2</f>
        <v>0</v>
      </c>
      <c r="H2">
        <f>('Cession Cat 25Mxs15M'!D2+'Cession Cat 25Mxs15M'!E2)/'Cession Cat 25Mxs15M'!C2</f>
        <v>0</v>
      </c>
    </row>
    <row r="3">
      <c r="A3">
        <v>2021</v>
      </c>
      <c r="B3">
        <f>[pricing-model.xlsx]'Premium Summary'!E3</f>
        <v>0</v>
      </c>
      <c r="C3">
        <f>'Cession Cat 25Mxs15M'!B3*'Treaty Structure'!E6</f>
        <v>0</v>
      </c>
      <c r="D3">
        <f>[reserve-model.xlsx]'Reserve Summary'!B6*'Treaty Structure'!F6*0.35</f>
        <v>0</v>
      </c>
      <c r="E3">
        <f>'Cession Cat 25Mxs15M'!D3*0.08</f>
        <v>0</v>
      </c>
      <c r="F3">
        <f>'Cession Cat 25Mxs15M'!C3-'Cession Cat 25Mxs15M'!D3-'Cession Cat 25Mxs15M'!E3</f>
        <v>0</v>
      </c>
      <c r="G3">
        <f>'Cession Cat 25Mxs15M'!C3/'Cession Cat 25Mxs15M'!B3</f>
        <v>0</v>
      </c>
      <c r="H3">
        <f>('Cession Cat 25Mxs15M'!D3+'Cession Cat 25Mxs15M'!E3)/'Cession Cat 25Mxs15M'!C3</f>
        <v>0</v>
      </c>
    </row>
    <row r="4">
      <c r="A4">
        <v>2022</v>
      </c>
      <c r="B4">
        <f>[pricing-model.xlsx]'Premium Summary'!E4</f>
        <v>0</v>
      </c>
      <c r="C4">
        <f>'Cession Cat 25Mxs15M'!B4*'Treaty Structure'!E6</f>
        <v>0</v>
      </c>
      <c r="D4">
        <f>[reserve-model.xlsx]'Reserve Summary'!B6*'Treaty Structure'!F6*0.40</f>
        <v>0</v>
      </c>
      <c r="E4">
        <f>'Cession Cat 25Mxs15M'!D4*0.08</f>
        <v>0</v>
      </c>
      <c r="F4">
        <f>'Cession Cat 25Mxs15M'!C4-'Cession Cat 25Mxs15M'!D4-'Cession Cat 25Mxs15M'!E4</f>
        <v>0</v>
      </c>
      <c r="G4">
        <f>'Cession Cat 25Mxs15M'!C4/'Cession Cat 25Mxs15M'!B4</f>
        <v>0</v>
      </c>
      <c r="H4">
        <f>('Cession Cat 25Mxs15M'!D4+'Cession Cat 25Mxs15M'!E4)/'Cession Cat 25Mxs15M'!C4</f>
        <v>0</v>
      </c>
    </row>
    <row r="5">
      <c r="A5">
        <v>2023</v>
      </c>
      <c r="B5">
        <f>[pricing-model.xlsx]'Premium Summary'!E5</f>
        <v>0</v>
      </c>
      <c r="C5">
        <f>'Cession Cat 25Mxs15M'!B5*'Treaty Structure'!E6</f>
        <v>0</v>
      </c>
      <c r="D5">
        <f>[reserve-model.xlsx]'Reserve Summary'!B6*'Treaty Structure'!F6*0.45</f>
        <v>0</v>
      </c>
      <c r="E5">
        <f>'Cession Cat 25Mxs15M'!D5*0.08</f>
        <v>0</v>
      </c>
      <c r="F5">
        <f>'Cession Cat 25Mxs15M'!C5-'Cession Cat 25Mxs15M'!D5-'Cession Cat 25Mxs15M'!E5</f>
        <v>0</v>
      </c>
      <c r="G5">
        <f>'Cession Cat 25Mxs15M'!C5/'Cession Cat 25Mxs15M'!B5</f>
        <v>0</v>
      </c>
      <c r="H5">
        <f>('Cession Cat 25Mxs15M'!D5+'Cession Cat 25Mxs15M'!E5)/'Cession Cat 25Mxs15M'!C5</f>
        <v>0</v>
      </c>
    </row>
    <row r="6">
      <c r="A6">
        <v>2024</v>
      </c>
      <c r="B6">
        <f>[pricing-model.xlsx]'Premium Summary'!E6</f>
        <v>0</v>
      </c>
      <c r="C6">
        <f>'Cession Cat 25Mxs15M'!B6*'Treaty Structure'!E6</f>
        <v>0</v>
      </c>
      <c r="D6">
        <f>[reserve-model.xlsx]'Reserve Summary'!B6*'Treaty Structure'!F6*0.50</f>
        <v>0</v>
      </c>
      <c r="E6">
        <f>'Cession Cat 25Mxs15M'!D6*0.08</f>
        <v>0</v>
      </c>
      <c r="F6">
        <f>'Cession Cat 25Mxs15M'!C6-'Cession Cat 25Mxs15M'!D6-'Cession Cat 25Mxs15M'!E6</f>
        <v>0</v>
      </c>
      <c r="G6">
        <f>'Cession Cat 25Mxs15M'!C6/'Cession Cat 25Mxs15M'!B6</f>
        <v>0</v>
      </c>
      <c r="H6">
        <f>('Cession Cat 25Mxs15M'!D6+'Cession Cat 25Mxs15M'!E6)/'Cession Cat 25Mxs15M'!C6</f>
        <v>0</v>
      </c>
    </row>
    <row r="7">
      <c r="A7">
        <v>2025</v>
      </c>
      <c r="B7">
        <f>[pricing-model.xlsx]'Premium Summary'!E7</f>
        <v>0</v>
      </c>
      <c r="C7">
        <f>'Cession Cat 25Mxs15M'!B7*'Treaty Structure'!E6</f>
        <v>0</v>
      </c>
      <c r="D7">
        <f>[reserve-model.xlsx]'Reserve Summary'!B6*'Treaty Structure'!F6*0.55</f>
        <v>0</v>
      </c>
      <c r="E7">
        <f>'Cession Cat 25Mxs15M'!D7*0.08</f>
        <v>0</v>
      </c>
      <c r="F7">
        <f>'Cession Cat 25Mxs15M'!C7-'Cession Cat 25Mxs15M'!D7-'Cession Cat 25Mxs15M'!E7</f>
        <v>0</v>
      </c>
      <c r="G7">
        <f>'Cession Cat 25Mxs15M'!C7/'Cession Cat 25Mxs15M'!B7</f>
        <v>0</v>
      </c>
      <c r="H7">
        <f>('Cession Cat 25Mxs15M'!D7+'Cession Cat 25Mxs15M'!E7)/'Cession Cat 25Mxs15M'!C7</f>
        <v>0</v>
      </c>
    </row>
    <row r="8">
      <c r="A8">
        <v>2026</v>
      </c>
      <c r="B8">
        <f>[pricing-model.xlsx]'Premium Summary'!E8</f>
        <v>0</v>
      </c>
      <c r="C8">
        <f>'Cession Cat 25Mxs15M'!B8*'Treaty Structure'!E6</f>
        <v>0</v>
      </c>
      <c r="D8">
        <f>[reserve-model.xlsx]'Reserve Summary'!B6*'Treaty Structure'!F6*0.60</f>
        <v>0</v>
      </c>
      <c r="E8">
        <f>'Cession Cat 25Mxs15M'!D8*0.08</f>
        <v>0</v>
      </c>
      <c r="F8">
        <f>'Cession Cat 25Mxs15M'!C8-'Cession Cat 25Mxs15M'!D8-'Cession Cat 25Mxs15M'!E8</f>
        <v>0</v>
      </c>
      <c r="G8">
        <f>'Cession Cat 25Mxs15M'!C8/'Cession Cat 25Mxs15M'!B8</f>
        <v>0</v>
      </c>
      <c r="H8">
        <f>('Cession Cat 25Mxs15M'!D8+'Cession Cat 25Mxs15M'!E8)/'Cession Cat 25Mxs15M'!C8</f>
        <v>0</v>
      </c>
    </row>
  </sheetData>
  <ignoredErrors>
    <ignoredError numberStoredAsText="1" sqref="A1:H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Year</v>
      </c>
      <c r="B1" t="str">
        <v>Subject Premium</v>
      </c>
      <c r="C1" t="str">
        <v>Ceded Premium</v>
      </c>
      <c r="D1" t="str">
        <v>Ceded Loss</v>
      </c>
      <c r="E1" t="str">
        <v>Ceded ALAE</v>
      </c>
      <c r="F1" t="str">
        <v>Net Ceded</v>
      </c>
      <c r="G1" t="str">
        <v>Cession Ratio</v>
      </c>
      <c r="H1" t="str">
        <v>Recovery Ratio</v>
      </c>
    </row>
    <row r="2">
      <c r="A2">
        <v>2020</v>
      </c>
      <c r="B2">
        <f>[pricing-model.xlsx]'Premium Summary'!E2</f>
        <v>0</v>
      </c>
      <c r="C2">
        <f>'Cession Clash 5Mxs5M'!B2*'Treaty Structure'!E7</f>
        <v>0</v>
      </c>
      <c r="D2">
        <f>[reserve-model.xlsx]'Reserve Summary'!B7*'Treaty Structure'!F7*0.30</f>
        <v>0</v>
      </c>
      <c r="E2">
        <f>'Cession Clash 5Mxs5M'!D2*0.08</f>
        <v>0</v>
      </c>
      <c r="F2">
        <f>'Cession Clash 5Mxs5M'!C2-'Cession Clash 5Mxs5M'!D2-'Cession Clash 5Mxs5M'!E2</f>
        <v>0</v>
      </c>
      <c r="G2">
        <f>'Cession Clash 5Mxs5M'!C2/'Cession Clash 5Mxs5M'!B2</f>
        <v>0</v>
      </c>
      <c r="H2">
        <f>('Cession Clash 5Mxs5M'!D2+'Cession Clash 5Mxs5M'!E2)/'Cession Clash 5Mxs5M'!C2</f>
        <v>0</v>
      </c>
    </row>
    <row r="3">
      <c r="A3">
        <v>2021</v>
      </c>
      <c r="B3">
        <f>[pricing-model.xlsx]'Premium Summary'!E3</f>
        <v>0</v>
      </c>
      <c r="C3">
        <f>'Cession Clash 5Mxs5M'!B3*'Treaty Structure'!E7</f>
        <v>0</v>
      </c>
      <c r="D3">
        <f>[reserve-model.xlsx]'Reserve Summary'!B7*'Treaty Structure'!F7*0.35</f>
        <v>0</v>
      </c>
      <c r="E3">
        <f>'Cession Clash 5Mxs5M'!D3*0.08</f>
        <v>0</v>
      </c>
      <c r="F3">
        <f>'Cession Clash 5Mxs5M'!C3-'Cession Clash 5Mxs5M'!D3-'Cession Clash 5Mxs5M'!E3</f>
        <v>0</v>
      </c>
      <c r="G3">
        <f>'Cession Clash 5Mxs5M'!C3/'Cession Clash 5Mxs5M'!B3</f>
        <v>0</v>
      </c>
      <c r="H3">
        <f>('Cession Clash 5Mxs5M'!D3+'Cession Clash 5Mxs5M'!E3)/'Cession Clash 5Mxs5M'!C3</f>
        <v>0</v>
      </c>
    </row>
    <row r="4">
      <c r="A4">
        <v>2022</v>
      </c>
      <c r="B4">
        <f>[pricing-model.xlsx]'Premium Summary'!E4</f>
        <v>0</v>
      </c>
      <c r="C4">
        <f>'Cession Clash 5Mxs5M'!B4*'Treaty Structure'!E7</f>
        <v>0</v>
      </c>
      <c r="D4">
        <f>[reserve-model.xlsx]'Reserve Summary'!B7*'Treaty Structure'!F7*0.40</f>
        <v>0</v>
      </c>
      <c r="E4">
        <f>'Cession Clash 5Mxs5M'!D4*0.08</f>
        <v>0</v>
      </c>
      <c r="F4">
        <f>'Cession Clash 5Mxs5M'!C4-'Cession Clash 5Mxs5M'!D4-'Cession Clash 5Mxs5M'!E4</f>
        <v>0</v>
      </c>
      <c r="G4">
        <f>'Cession Clash 5Mxs5M'!C4/'Cession Clash 5Mxs5M'!B4</f>
        <v>0</v>
      </c>
      <c r="H4">
        <f>('Cession Clash 5Mxs5M'!D4+'Cession Clash 5Mxs5M'!E4)/'Cession Clash 5Mxs5M'!C4</f>
        <v>0</v>
      </c>
    </row>
    <row r="5">
      <c r="A5">
        <v>2023</v>
      </c>
      <c r="B5">
        <f>[pricing-model.xlsx]'Premium Summary'!E5</f>
        <v>0</v>
      </c>
      <c r="C5">
        <f>'Cession Clash 5Mxs5M'!B5*'Treaty Structure'!E7</f>
        <v>0</v>
      </c>
      <c r="D5">
        <f>[reserve-model.xlsx]'Reserve Summary'!B7*'Treaty Structure'!F7*0.45</f>
        <v>0</v>
      </c>
      <c r="E5">
        <f>'Cession Clash 5Mxs5M'!D5*0.08</f>
        <v>0</v>
      </c>
      <c r="F5">
        <f>'Cession Clash 5Mxs5M'!C5-'Cession Clash 5Mxs5M'!D5-'Cession Clash 5Mxs5M'!E5</f>
        <v>0</v>
      </c>
      <c r="G5">
        <f>'Cession Clash 5Mxs5M'!C5/'Cession Clash 5Mxs5M'!B5</f>
        <v>0</v>
      </c>
      <c r="H5">
        <f>('Cession Clash 5Mxs5M'!D5+'Cession Clash 5Mxs5M'!E5)/'Cession Clash 5Mxs5M'!C5</f>
        <v>0</v>
      </c>
    </row>
    <row r="6">
      <c r="A6">
        <v>2024</v>
      </c>
      <c r="B6">
        <f>[pricing-model.xlsx]'Premium Summary'!E6</f>
        <v>0</v>
      </c>
      <c r="C6">
        <f>'Cession Clash 5Mxs5M'!B6*'Treaty Structure'!E7</f>
        <v>0</v>
      </c>
      <c r="D6">
        <f>[reserve-model.xlsx]'Reserve Summary'!B7*'Treaty Structure'!F7*0.50</f>
        <v>0</v>
      </c>
      <c r="E6">
        <f>'Cession Clash 5Mxs5M'!D6*0.08</f>
        <v>0</v>
      </c>
      <c r="F6">
        <f>'Cession Clash 5Mxs5M'!C6-'Cession Clash 5Mxs5M'!D6-'Cession Clash 5Mxs5M'!E6</f>
        <v>0</v>
      </c>
      <c r="G6">
        <f>'Cession Clash 5Mxs5M'!C6/'Cession Clash 5Mxs5M'!B6</f>
        <v>0</v>
      </c>
      <c r="H6">
        <f>('Cession Clash 5Mxs5M'!D6+'Cession Clash 5Mxs5M'!E6)/'Cession Clash 5Mxs5M'!C6</f>
        <v>0</v>
      </c>
    </row>
    <row r="7">
      <c r="A7">
        <v>2025</v>
      </c>
      <c r="B7">
        <f>[pricing-model.xlsx]'Premium Summary'!E7</f>
        <v>0</v>
      </c>
      <c r="C7">
        <f>'Cession Clash 5Mxs5M'!B7*'Treaty Structure'!E7</f>
        <v>0</v>
      </c>
      <c r="D7">
        <f>[reserve-model.xlsx]'Reserve Summary'!B7*'Treaty Structure'!F7*0.55</f>
        <v>0</v>
      </c>
      <c r="E7">
        <f>'Cession Clash 5Mxs5M'!D7*0.08</f>
        <v>0</v>
      </c>
      <c r="F7">
        <f>'Cession Clash 5Mxs5M'!C7-'Cession Clash 5Mxs5M'!D7-'Cession Clash 5Mxs5M'!E7</f>
        <v>0</v>
      </c>
      <c r="G7">
        <f>'Cession Clash 5Mxs5M'!C7/'Cession Clash 5Mxs5M'!B7</f>
        <v>0</v>
      </c>
      <c r="H7">
        <f>('Cession Clash 5Mxs5M'!D7+'Cession Clash 5Mxs5M'!E7)/'Cession Clash 5Mxs5M'!C7</f>
        <v>0</v>
      </c>
    </row>
    <row r="8">
      <c r="A8">
        <v>2026</v>
      </c>
      <c r="B8">
        <f>[pricing-model.xlsx]'Premium Summary'!E8</f>
        <v>0</v>
      </c>
      <c r="C8">
        <f>'Cession Clash 5Mxs5M'!B8*'Treaty Structure'!E7</f>
        <v>0</v>
      </c>
      <c r="D8">
        <f>[reserve-model.xlsx]'Reserve Summary'!B7*'Treaty Structure'!F7*0.60</f>
        <v>0</v>
      </c>
      <c r="E8">
        <f>'Cession Clash 5Mxs5M'!D8*0.08</f>
        <v>0</v>
      </c>
      <c r="F8">
        <f>'Cession Clash 5Mxs5M'!C8-'Cession Clash 5Mxs5M'!D8-'Cession Clash 5Mxs5M'!E8</f>
        <v>0</v>
      </c>
      <c r="G8">
        <f>'Cession Clash 5Mxs5M'!C8/'Cession Clash 5Mxs5M'!B8</f>
        <v>0</v>
      </c>
      <c r="H8">
        <f>('Cession Clash 5Mxs5M'!D8+'Cession Clash 5Mxs5M'!E8)/'Cession Clash 5Mxs5M'!C8</f>
        <v>0</v>
      </c>
    </row>
  </sheetData>
  <ignoredErrors>
    <ignoredError numberStoredAsText="1" sqref="A1:H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Year</v>
      </c>
      <c r="B1" t="str">
        <v>Gross Premium</v>
      </c>
      <c r="C1" t="str">
        <v>QS Ceded</v>
      </c>
      <c r="D1" t="str">
        <v>XOL Ceded</v>
      </c>
      <c r="E1" t="str">
        <v>Cat Ceded</v>
      </c>
      <c r="F1" t="str">
        <v>Net Retained</v>
      </c>
      <c r="G1" t="str">
        <v>Retention Ratio</v>
      </c>
      <c r="H1" t="str">
        <v>Net Loss Ratio</v>
      </c>
    </row>
    <row r="2">
      <c r="A2">
        <v>2020</v>
      </c>
      <c r="B2">
        <f>[pricing-model.xlsx]'Premium Summary'!C2*0.14</f>
        <v>0</v>
      </c>
      <c r="C2">
        <f>'Ret Auto Liability'!B2*QSCedingPct</f>
        <v>0</v>
      </c>
      <c r="D2">
        <f>'Ret Auto Liability'!B2*0.05</f>
        <v>0</v>
      </c>
      <c r="E2">
        <f>'Ret Auto Liability'!B2*0.02</f>
        <v>0</v>
      </c>
      <c r="F2">
        <f>'Ret Auto Liability'!B2-'Ret Auto Liability'!C2-'Ret Auto Liability'!D2-'Ret Auto Liability'!E2</f>
        <v>0</v>
      </c>
      <c r="G2">
        <f>'Ret Auto Liability'!F2/'Ret Auto Liability'!B2</f>
        <v>0</v>
      </c>
      <c r="H2">
        <f>[reserve-model.xlsx]'Reserve Summary'!C2/'Ret Auto Liability'!F2*0.1</f>
        <v>0</v>
      </c>
    </row>
    <row r="3">
      <c r="A3">
        <v>2021</v>
      </c>
      <c r="B3">
        <f>[pricing-model.xlsx]'Premium Summary'!C3*0.14</f>
        <v>0</v>
      </c>
      <c r="C3">
        <f>'Ret Auto Liability'!B3*QSCedingPct</f>
        <v>0</v>
      </c>
      <c r="D3">
        <f>'Ret Auto Liability'!B3*0.05</f>
        <v>0</v>
      </c>
      <c r="E3">
        <f>'Ret Auto Liability'!B3*0.02</f>
        <v>0</v>
      </c>
      <c r="F3">
        <f>'Ret Auto Liability'!B3-'Ret Auto Liability'!C3-'Ret Auto Liability'!D3-'Ret Auto Liability'!E3</f>
        <v>0</v>
      </c>
      <c r="G3">
        <f>'Ret Auto Liability'!F3/'Ret Auto Liability'!B3</f>
        <v>0</v>
      </c>
      <c r="H3">
        <f>[reserve-model.xlsx]'Reserve Summary'!C2/'Ret Auto Liability'!F3*0.1</f>
        <v>0</v>
      </c>
    </row>
    <row r="4">
      <c r="A4">
        <v>2022</v>
      </c>
      <c r="B4">
        <f>[pricing-model.xlsx]'Premium Summary'!C4*0.14</f>
        <v>0</v>
      </c>
      <c r="C4">
        <f>'Ret Auto Liability'!B4*QSCedingPct</f>
        <v>0</v>
      </c>
      <c r="D4">
        <f>'Ret Auto Liability'!B4*0.05</f>
        <v>0</v>
      </c>
      <c r="E4">
        <f>'Ret Auto Liability'!B4*0.02</f>
        <v>0</v>
      </c>
      <c r="F4">
        <f>'Ret Auto Liability'!B4-'Ret Auto Liability'!C4-'Ret Auto Liability'!D4-'Ret Auto Liability'!E4</f>
        <v>0</v>
      </c>
      <c r="G4">
        <f>'Ret Auto Liability'!F4/'Ret Auto Liability'!B4</f>
        <v>0</v>
      </c>
      <c r="H4">
        <f>[reserve-model.xlsx]'Reserve Summary'!C2/'Ret Auto Liability'!F4*0.1</f>
        <v>0</v>
      </c>
    </row>
    <row r="5">
      <c r="A5">
        <v>2023</v>
      </c>
      <c r="B5">
        <f>[pricing-model.xlsx]'Premium Summary'!C5*0.14</f>
        <v>0</v>
      </c>
      <c r="C5">
        <f>'Ret Auto Liability'!B5*QSCedingPct</f>
        <v>0</v>
      </c>
      <c r="D5">
        <f>'Ret Auto Liability'!B5*0.05</f>
        <v>0</v>
      </c>
      <c r="E5">
        <f>'Ret Auto Liability'!B5*0.02</f>
        <v>0</v>
      </c>
      <c r="F5">
        <f>'Ret Auto Liability'!B5-'Ret Auto Liability'!C5-'Ret Auto Liability'!D5-'Ret Auto Liability'!E5</f>
        <v>0</v>
      </c>
      <c r="G5">
        <f>'Ret Auto Liability'!F5/'Ret Auto Liability'!B5</f>
        <v>0</v>
      </c>
      <c r="H5">
        <f>[reserve-model.xlsx]'Reserve Summary'!C2/'Ret Auto Liability'!F5*0.1</f>
        <v>0</v>
      </c>
    </row>
    <row r="6">
      <c r="A6">
        <v>2024</v>
      </c>
      <c r="B6">
        <f>[pricing-model.xlsx]'Premium Summary'!C6*0.14</f>
        <v>0</v>
      </c>
      <c r="C6">
        <f>'Ret Auto Liability'!B6*QSCedingPct</f>
        <v>0</v>
      </c>
      <c r="D6">
        <f>'Ret Auto Liability'!B6*0.05</f>
        <v>0</v>
      </c>
      <c r="E6">
        <f>'Ret Auto Liability'!B6*0.02</f>
        <v>0</v>
      </c>
      <c r="F6">
        <f>'Ret Auto Liability'!B6-'Ret Auto Liability'!C6-'Ret Auto Liability'!D6-'Ret Auto Liability'!E6</f>
        <v>0</v>
      </c>
      <c r="G6">
        <f>'Ret Auto Liability'!F6/'Ret Auto Liability'!B6</f>
        <v>0</v>
      </c>
      <c r="H6">
        <f>[reserve-model.xlsx]'Reserve Summary'!C2/'Ret Auto Liability'!F6*0.1</f>
        <v>0</v>
      </c>
    </row>
    <row r="7">
      <c r="A7">
        <v>2025</v>
      </c>
      <c r="B7">
        <f>[pricing-model.xlsx]'Premium Summary'!C7*0.14</f>
        <v>0</v>
      </c>
      <c r="C7">
        <f>'Ret Auto Liability'!B7*QSCedingPct</f>
        <v>0</v>
      </c>
      <c r="D7">
        <f>'Ret Auto Liability'!B7*0.05</f>
        <v>0</v>
      </c>
      <c r="E7">
        <f>'Ret Auto Liability'!B7*0.02</f>
        <v>0</v>
      </c>
      <c r="F7">
        <f>'Ret Auto Liability'!B7-'Ret Auto Liability'!C7-'Ret Auto Liability'!D7-'Ret Auto Liability'!E7</f>
        <v>0</v>
      </c>
      <c r="G7">
        <f>'Ret Auto Liability'!F7/'Ret Auto Liability'!B7</f>
        <v>0</v>
      </c>
      <c r="H7">
        <f>[reserve-model.xlsx]'Reserve Summary'!C2/'Ret Auto Liability'!F7*0.1</f>
        <v>0</v>
      </c>
    </row>
    <row r="8">
      <c r="A8">
        <v>2026</v>
      </c>
      <c r="B8">
        <f>[pricing-model.xlsx]'Premium Summary'!C8*0.14</f>
        <v>0</v>
      </c>
      <c r="C8">
        <f>'Ret Auto Liability'!B8*QSCedingPct</f>
        <v>0</v>
      </c>
      <c r="D8">
        <f>'Ret Auto Liability'!B8*0.05</f>
        <v>0</v>
      </c>
      <c r="E8">
        <f>'Ret Auto Liability'!B8*0.02</f>
        <v>0</v>
      </c>
      <c r="F8">
        <f>'Ret Auto Liability'!B8-'Ret Auto Liability'!C8-'Ret Auto Liability'!D8-'Ret Auto Liability'!E8</f>
        <v>0</v>
      </c>
      <c r="G8">
        <f>'Ret Auto Liability'!F8/'Ret Auto Liability'!B8</f>
        <v>0</v>
      </c>
      <c r="H8">
        <f>[reserve-model.xlsx]'Reserve Summary'!C2/'Ret Auto Liability'!F8*0.1</f>
        <v>0</v>
      </c>
    </row>
  </sheetData>
  <ignoredErrors>
    <ignoredError numberStoredAsText="1" sqref="A1:H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Year</v>
      </c>
      <c r="B1" t="str">
        <v>Gross Premium</v>
      </c>
      <c r="C1" t="str">
        <v>QS Ceded</v>
      </c>
      <c r="D1" t="str">
        <v>XOL Ceded</v>
      </c>
      <c r="E1" t="str">
        <v>Cat Ceded</v>
      </c>
      <c r="F1" t="str">
        <v>Net Retained</v>
      </c>
      <c r="G1" t="str">
        <v>Retention Ratio</v>
      </c>
      <c r="H1" t="str">
        <v>Net Loss Ratio</v>
      </c>
    </row>
    <row r="2">
      <c r="A2">
        <v>2020</v>
      </c>
      <c r="B2">
        <f>[pricing-model.xlsx]'Premium Summary'!C2*0.15</f>
        <v>0</v>
      </c>
      <c r="C2">
        <f>'Ret General Liability'!B2*QSCedingPct</f>
        <v>0</v>
      </c>
      <c r="D2">
        <f>'Ret General Liability'!B2*0.05</f>
        <v>0</v>
      </c>
      <c r="E2">
        <f>'Ret General Liability'!B2*0.02</f>
        <v>0</v>
      </c>
      <c r="F2">
        <f>'Ret General Liability'!B2-'Ret General Liability'!C2-'Ret General Liability'!D2-'Ret General Liability'!E2</f>
        <v>0</v>
      </c>
      <c r="G2">
        <f>'Ret General Liability'!F2/'Ret General Liability'!B2</f>
        <v>0</v>
      </c>
      <c r="H2">
        <f>[reserve-model.xlsx]'Reserve Summary'!C3/'Ret General Liability'!F2*0.1</f>
        <v>0</v>
      </c>
    </row>
    <row r="3">
      <c r="A3">
        <v>2021</v>
      </c>
      <c r="B3">
        <f>[pricing-model.xlsx]'Premium Summary'!C3*0.15</f>
        <v>0</v>
      </c>
      <c r="C3">
        <f>'Ret General Liability'!B3*QSCedingPct</f>
        <v>0</v>
      </c>
      <c r="D3">
        <f>'Ret General Liability'!B3*0.05</f>
        <v>0</v>
      </c>
      <c r="E3">
        <f>'Ret General Liability'!B3*0.02</f>
        <v>0</v>
      </c>
      <c r="F3">
        <f>'Ret General Liability'!B3-'Ret General Liability'!C3-'Ret General Liability'!D3-'Ret General Liability'!E3</f>
        <v>0</v>
      </c>
      <c r="G3">
        <f>'Ret General Liability'!F3/'Ret General Liability'!B3</f>
        <v>0</v>
      </c>
      <c r="H3">
        <f>[reserve-model.xlsx]'Reserve Summary'!C3/'Ret General Liability'!F3*0.1</f>
        <v>0</v>
      </c>
    </row>
    <row r="4">
      <c r="A4">
        <v>2022</v>
      </c>
      <c r="B4">
        <f>[pricing-model.xlsx]'Premium Summary'!C4*0.15</f>
        <v>0</v>
      </c>
      <c r="C4">
        <f>'Ret General Liability'!B4*QSCedingPct</f>
        <v>0</v>
      </c>
      <c r="D4">
        <f>'Ret General Liability'!B4*0.05</f>
        <v>0</v>
      </c>
      <c r="E4">
        <f>'Ret General Liability'!B4*0.02</f>
        <v>0</v>
      </c>
      <c r="F4">
        <f>'Ret General Liability'!B4-'Ret General Liability'!C4-'Ret General Liability'!D4-'Ret General Liability'!E4</f>
        <v>0</v>
      </c>
      <c r="G4">
        <f>'Ret General Liability'!F4/'Ret General Liability'!B4</f>
        <v>0</v>
      </c>
      <c r="H4">
        <f>[reserve-model.xlsx]'Reserve Summary'!C3/'Ret General Liability'!F4*0.1</f>
        <v>0</v>
      </c>
    </row>
    <row r="5">
      <c r="A5">
        <v>2023</v>
      </c>
      <c r="B5">
        <f>[pricing-model.xlsx]'Premium Summary'!C5*0.15</f>
        <v>0</v>
      </c>
      <c r="C5">
        <f>'Ret General Liability'!B5*QSCedingPct</f>
        <v>0</v>
      </c>
      <c r="D5">
        <f>'Ret General Liability'!B5*0.05</f>
        <v>0</v>
      </c>
      <c r="E5">
        <f>'Ret General Liability'!B5*0.02</f>
        <v>0</v>
      </c>
      <c r="F5">
        <f>'Ret General Liability'!B5-'Ret General Liability'!C5-'Ret General Liability'!D5-'Ret General Liability'!E5</f>
        <v>0</v>
      </c>
      <c r="G5">
        <f>'Ret General Liability'!F5/'Ret General Liability'!B5</f>
        <v>0</v>
      </c>
      <c r="H5">
        <f>[reserve-model.xlsx]'Reserve Summary'!C3/'Ret General Liability'!F5*0.1</f>
        <v>0</v>
      </c>
    </row>
    <row r="6">
      <c r="A6">
        <v>2024</v>
      </c>
      <c r="B6">
        <f>[pricing-model.xlsx]'Premium Summary'!C6*0.15</f>
        <v>0</v>
      </c>
      <c r="C6">
        <f>'Ret General Liability'!B6*QSCedingPct</f>
        <v>0</v>
      </c>
      <c r="D6">
        <f>'Ret General Liability'!B6*0.05</f>
        <v>0</v>
      </c>
      <c r="E6">
        <f>'Ret General Liability'!B6*0.02</f>
        <v>0</v>
      </c>
      <c r="F6">
        <f>'Ret General Liability'!B6-'Ret General Liability'!C6-'Ret General Liability'!D6-'Ret General Liability'!E6</f>
        <v>0</v>
      </c>
      <c r="G6">
        <f>'Ret General Liability'!F6/'Ret General Liability'!B6</f>
        <v>0</v>
      </c>
      <c r="H6">
        <f>[reserve-model.xlsx]'Reserve Summary'!C3/'Ret General Liability'!F6*0.1</f>
        <v>0</v>
      </c>
    </row>
    <row r="7">
      <c r="A7">
        <v>2025</v>
      </c>
      <c r="B7">
        <f>[pricing-model.xlsx]'Premium Summary'!C7*0.15</f>
        <v>0</v>
      </c>
      <c r="C7">
        <f>'Ret General Liability'!B7*QSCedingPct</f>
        <v>0</v>
      </c>
      <c r="D7">
        <f>'Ret General Liability'!B7*0.05</f>
        <v>0</v>
      </c>
      <c r="E7">
        <f>'Ret General Liability'!B7*0.02</f>
        <v>0</v>
      </c>
      <c r="F7">
        <f>'Ret General Liability'!B7-'Ret General Liability'!C7-'Ret General Liability'!D7-'Ret General Liability'!E7</f>
        <v>0</v>
      </c>
      <c r="G7">
        <f>'Ret General Liability'!F7/'Ret General Liability'!B7</f>
        <v>0</v>
      </c>
      <c r="H7">
        <f>[reserve-model.xlsx]'Reserve Summary'!C3/'Ret General Liability'!F7*0.1</f>
        <v>0</v>
      </c>
    </row>
    <row r="8">
      <c r="A8">
        <v>2026</v>
      </c>
      <c r="B8">
        <f>[pricing-model.xlsx]'Premium Summary'!C8*0.15</f>
        <v>0</v>
      </c>
      <c r="C8">
        <f>'Ret General Liability'!B8*QSCedingPct</f>
        <v>0</v>
      </c>
      <c r="D8">
        <f>'Ret General Liability'!B8*0.05</f>
        <v>0</v>
      </c>
      <c r="E8">
        <f>'Ret General Liability'!B8*0.02</f>
        <v>0</v>
      </c>
      <c r="F8">
        <f>'Ret General Liability'!B8-'Ret General Liability'!C8-'Ret General Liability'!D8-'Ret General Liability'!E8</f>
        <v>0</v>
      </c>
      <c r="G8">
        <f>'Ret General Liability'!F8/'Ret General Liability'!B8</f>
        <v>0</v>
      </c>
      <c r="H8">
        <f>[reserve-model.xlsx]'Reserve Summary'!C3/'Ret General Liability'!F8*0.1</f>
        <v>0</v>
      </c>
    </row>
  </sheetData>
  <ignoredErrors>
    <ignoredError numberStoredAsText="1" sqref="A1:H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Year</v>
      </c>
      <c r="B1" t="str">
        <v>Gross Premium</v>
      </c>
      <c r="C1" t="str">
        <v>QS Ceded</v>
      </c>
      <c r="D1" t="str">
        <v>XOL Ceded</v>
      </c>
      <c r="E1" t="str">
        <v>Cat Ceded</v>
      </c>
      <c r="F1" t="str">
        <v>Net Retained</v>
      </c>
      <c r="G1" t="str">
        <v>Retention Ratio</v>
      </c>
      <c r="H1" t="str">
        <v>Net Loss Ratio</v>
      </c>
    </row>
    <row r="2">
      <c r="A2">
        <v>2020</v>
      </c>
      <c r="B2">
        <f>[pricing-model.xlsx]'Premium Summary'!C2*0.16</f>
        <v>0</v>
      </c>
      <c r="C2">
        <f>'Ret Workers Comp'!B2*QSCedingPct</f>
        <v>0</v>
      </c>
      <c r="D2">
        <f>'Ret Workers Comp'!B2*0.05</f>
        <v>0</v>
      </c>
      <c r="E2">
        <f>'Ret Workers Comp'!B2*0.02</f>
        <v>0</v>
      </c>
      <c r="F2">
        <f>'Ret Workers Comp'!B2-'Ret Workers Comp'!C2-'Ret Workers Comp'!D2-'Ret Workers Comp'!E2</f>
        <v>0</v>
      </c>
      <c r="G2">
        <f>'Ret Workers Comp'!F2/'Ret Workers Comp'!B2</f>
        <v>0</v>
      </c>
      <c r="H2">
        <f>[reserve-model.xlsx]'Reserve Summary'!C4/'Ret Workers Comp'!F2*0.1</f>
        <v>0</v>
      </c>
    </row>
    <row r="3">
      <c r="A3">
        <v>2021</v>
      </c>
      <c r="B3">
        <f>[pricing-model.xlsx]'Premium Summary'!C3*0.16</f>
        <v>0</v>
      </c>
      <c r="C3">
        <f>'Ret Workers Comp'!B3*QSCedingPct</f>
        <v>0</v>
      </c>
      <c r="D3">
        <f>'Ret Workers Comp'!B3*0.05</f>
        <v>0</v>
      </c>
      <c r="E3">
        <f>'Ret Workers Comp'!B3*0.02</f>
        <v>0</v>
      </c>
      <c r="F3">
        <f>'Ret Workers Comp'!B3-'Ret Workers Comp'!C3-'Ret Workers Comp'!D3-'Ret Workers Comp'!E3</f>
        <v>0</v>
      </c>
      <c r="G3">
        <f>'Ret Workers Comp'!F3/'Ret Workers Comp'!B3</f>
        <v>0</v>
      </c>
      <c r="H3">
        <f>[reserve-model.xlsx]'Reserve Summary'!C4/'Ret Workers Comp'!F3*0.1</f>
        <v>0</v>
      </c>
    </row>
    <row r="4">
      <c r="A4">
        <v>2022</v>
      </c>
      <c r="B4">
        <f>[pricing-model.xlsx]'Premium Summary'!C4*0.16</f>
        <v>0</v>
      </c>
      <c r="C4">
        <f>'Ret Workers Comp'!B4*QSCedingPct</f>
        <v>0</v>
      </c>
      <c r="D4">
        <f>'Ret Workers Comp'!B4*0.05</f>
        <v>0</v>
      </c>
      <c r="E4">
        <f>'Ret Workers Comp'!B4*0.02</f>
        <v>0</v>
      </c>
      <c r="F4">
        <f>'Ret Workers Comp'!B4-'Ret Workers Comp'!C4-'Ret Workers Comp'!D4-'Ret Workers Comp'!E4</f>
        <v>0</v>
      </c>
      <c r="G4">
        <f>'Ret Workers Comp'!F4/'Ret Workers Comp'!B4</f>
        <v>0</v>
      </c>
      <c r="H4">
        <f>[reserve-model.xlsx]'Reserve Summary'!C4/'Ret Workers Comp'!F4*0.1</f>
        <v>0</v>
      </c>
    </row>
    <row r="5">
      <c r="A5">
        <v>2023</v>
      </c>
      <c r="B5">
        <f>[pricing-model.xlsx]'Premium Summary'!C5*0.16</f>
        <v>0</v>
      </c>
      <c r="C5">
        <f>'Ret Workers Comp'!B5*QSCedingPct</f>
        <v>0</v>
      </c>
      <c r="D5">
        <f>'Ret Workers Comp'!B5*0.05</f>
        <v>0</v>
      </c>
      <c r="E5">
        <f>'Ret Workers Comp'!B5*0.02</f>
        <v>0</v>
      </c>
      <c r="F5">
        <f>'Ret Workers Comp'!B5-'Ret Workers Comp'!C5-'Ret Workers Comp'!D5-'Ret Workers Comp'!E5</f>
        <v>0</v>
      </c>
      <c r="G5">
        <f>'Ret Workers Comp'!F5/'Ret Workers Comp'!B5</f>
        <v>0</v>
      </c>
      <c r="H5">
        <f>[reserve-model.xlsx]'Reserve Summary'!C4/'Ret Workers Comp'!F5*0.1</f>
        <v>0</v>
      </c>
    </row>
    <row r="6">
      <c r="A6">
        <v>2024</v>
      </c>
      <c r="B6">
        <f>[pricing-model.xlsx]'Premium Summary'!C6*0.16</f>
        <v>0</v>
      </c>
      <c r="C6">
        <f>'Ret Workers Comp'!B6*QSCedingPct</f>
        <v>0</v>
      </c>
      <c r="D6">
        <f>'Ret Workers Comp'!B6*0.05</f>
        <v>0</v>
      </c>
      <c r="E6">
        <f>'Ret Workers Comp'!B6*0.02</f>
        <v>0</v>
      </c>
      <c r="F6">
        <f>'Ret Workers Comp'!B6-'Ret Workers Comp'!C6-'Ret Workers Comp'!D6-'Ret Workers Comp'!E6</f>
        <v>0</v>
      </c>
      <c r="G6">
        <f>'Ret Workers Comp'!F6/'Ret Workers Comp'!B6</f>
        <v>0</v>
      </c>
      <c r="H6">
        <f>[reserve-model.xlsx]'Reserve Summary'!C4/'Ret Workers Comp'!F6*0.1</f>
        <v>0</v>
      </c>
    </row>
    <row r="7">
      <c r="A7">
        <v>2025</v>
      </c>
      <c r="B7">
        <f>[pricing-model.xlsx]'Premium Summary'!C7*0.16</f>
        <v>0</v>
      </c>
      <c r="C7">
        <f>'Ret Workers Comp'!B7*QSCedingPct</f>
        <v>0</v>
      </c>
      <c r="D7">
        <f>'Ret Workers Comp'!B7*0.05</f>
        <v>0</v>
      </c>
      <c r="E7">
        <f>'Ret Workers Comp'!B7*0.02</f>
        <v>0</v>
      </c>
      <c r="F7">
        <f>'Ret Workers Comp'!B7-'Ret Workers Comp'!C7-'Ret Workers Comp'!D7-'Ret Workers Comp'!E7</f>
        <v>0</v>
      </c>
      <c r="G7">
        <f>'Ret Workers Comp'!F7/'Ret Workers Comp'!B7</f>
        <v>0</v>
      </c>
      <c r="H7">
        <f>[reserve-model.xlsx]'Reserve Summary'!C4/'Ret Workers Comp'!F7*0.1</f>
        <v>0</v>
      </c>
    </row>
    <row r="8">
      <c r="A8">
        <v>2026</v>
      </c>
      <c r="B8">
        <f>[pricing-model.xlsx]'Premium Summary'!C8*0.16</f>
        <v>0</v>
      </c>
      <c r="C8">
        <f>'Ret Workers Comp'!B8*QSCedingPct</f>
        <v>0</v>
      </c>
      <c r="D8">
        <f>'Ret Workers Comp'!B8*0.05</f>
        <v>0</v>
      </c>
      <c r="E8">
        <f>'Ret Workers Comp'!B8*0.02</f>
        <v>0</v>
      </c>
      <c r="F8">
        <f>'Ret Workers Comp'!B8-'Ret Workers Comp'!C8-'Ret Workers Comp'!D8-'Ret Workers Comp'!E8</f>
        <v>0</v>
      </c>
      <c r="G8">
        <f>'Ret Workers Comp'!F8/'Ret Workers Comp'!B8</f>
        <v>0</v>
      </c>
      <c r="H8">
        <f>[reserve-model.xlsx]'Reserve Summary'!C4/'Ret Workers Comp'!F8*0.1</f>
        <v>0</v>
      </c>
    </row>
  </sheetData>
  <ignoredErrors>
    <ignoredError numberStoredAsText="1" sqref="A1:H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Year</v>
      </c>
      <c r="B1" t="str">
        <v>Gross Premium</v>
      </c>
      <c r="C1" t="str">
        <v>QS Ceded</v>
      </c>
      <c r="D1" t="str">
        <v>XOL Ceded</v>
      </c>
      <c r="E1" t="str">
        <v>Cat Ceded</v>
      </c>
      <c r="F1" t="str">
        <v>Net Retained</v>
      </c>
      <c r="G1" t="str">
        <v>Retention Ratio</v>
      </c>
      <c r="H1" t="str">
        <v>Net Loss Ratio</v>
      </c>
    </row>
    <row r="2">
      <c r="A2">
        <v>2020</v>
      </c>
      <c r="B2">
        <f>[pricing-model.xlsx]'Premium Summary'!C2*0.17</f>
        <v>0</v>
      </c>
      <c r="C2">
        <f>'Ret Commercial Propert'!B2*QSCedingPct</f>
        <v>0</v>
      </c>
      <c r="D2">
        <f>'Ret Commercial Propert'!B2*0.05</f>
        <v>0</v>
      </c>
      <c r="E2">
        <f>'Ret Commercial Propert'!B2*0.02</f>
        <v>0</v>
      </c>
      <c r="F2">
        <f>'Ret Commercial Propert'!B2-'Ret Commercial Propert'!C2-'Ret Commercial Propert'!D2-'Ret Commercial Propert'!E2</f>
        <v>0</v>
      </c>
      <c r="G2">
        <f>'Ret Commercial Propert'!F2/'Ret Commercial Propert'!B2</f>
        <v>0</v>
      </c>
      <c r="H2">
        <f>[reserve-model.xlsx]'Reserve Summary'!C5/'Ret Commercial Propert'!F2*0.1</f>
        <v>0</v>
      </c>
    </row>
    <row r="3">
      <c r="A3">
        <v>2021</v>
      </c>
      <c r="B3">
        <f>[pricing-model.xlsx]'Premium Summary'!C3*0.17</f>
        <v>0</v>
      </c>
      <c r="C3">
        <f>'Ret Commercial Propert'!B3*QSCedingPct</f>
        <v>0</v>
      </c>
      <c r="D3">
        <f>'Ret Commercial Propert'!B3*0.05</f>
        <v>0</v>
      </c>
      <c r="E3">
        <f>'Ret Commercial Propert'!B3*0.02</f>
        <v>0</v>
      </c>
      <c r="F3">
        <f>'Ret Commercial Propert'!B3-'Ret Commercial Propert'!C3-'Ret Commercial Propert'!D3-'Ret Commercial Propert'!E3</f>
        <v>0</v>
      </c>
      <c r="G3">
        <f>'Ret Commercial Propert'!F3/'Ret Commercial Propert'!B3</f>
        <v>0</v>
      </c>
      <c r="H3">
        <f>[reserve-model.xlsx]'Reserve Summary'!C5/'Ret Commercial Propert'!F3*0.1</f>
        <v>0</v>
      </c>
    </row>
    <row r="4">
      <c r="A4">
        <v>2022</v>
      </c>
      <c r="B4">
        <f>[pricing-model.xlsx]'Premium Summary'!C4*0.17</f>
        <v>0</v>
      </c>
      <c r="C4">
        <f>'Ret Commercial Propert'!B4*QSCedingPct</f>
        <v>0</v>
      </c>
      <c r="D4">
        <f>'Ret Commercial Propert'!B4*0.05</f>
        <v>0</v>
      </c>
      <c r="E4">
        <f>'Ret Commercial Propert'!B4*0.02</f>
        <v>0</v>
      </c>
      <c r="F4">
        <f>'Ret Commercial Propert'!B4-'Ret Commercial Propert'!C4-'Ret Commercial Propert'!D4-'Ret Commercial Propert'!E4</f>
        <v>0</v>
      </c>
      <c r="G4">
        <f>'Ret Commercial Propert'!F4/'Ret Commercial Propert'!B4</f>
        <v>0</v>
      </c>
      <c r="H4">
        <f>[reserve-model.xlsx]'Reserve Summary'!C5/'Ret Commercial Propert'!F4*0.1</f>
        <v>0</v>
      </c>
    </row>
    <row r="5">
      <c r="A5">
        <v>2023</v>
      </c>
      <c r="B5">
        <f>[pricing-model.xlsx]'Premium Summary'!C5*0.17</f>
        <v>0</v>
      </c>
      <c r="C5">
        <f>'Ret Commercial Propert'!B5*QSCedingPct</f>
        <v>0</v>
      </c>
      <c r="D5">
        <f>'Ret Commercial Propert'!B5*0.05</f>
        <v>0</v>
      </c>
      <c r="E5">
        <f>'Ret Commercial Propert'!B5*0.02</f>
        <v>0</v>
      </c>
      <c r="F5">
        <f>'Ret Commercial Propert'!B5-'Ret Commercial Propert'!C5-'Ret Commercial Propert'!D5-'Ret Commercial Propert'!E5</f>
        <v>0</v>
      </c>
      <c r="G5">
        <f>'Ret Commercial Propert'!F5/'Ret Commercial Propert'!B5</f>
        <v>0</v>
      </c>
      <c r="H5">
        <f>[reserve-model.xlsx]'Reserve Summary'!C5/'Ret Commercial Propert'!F5*0.1</f>
        <v>0</v>
      </c>
    </row>
    <row r="6">
      <c r="A6">
        <v>2024</v>
      </c>
      <c r="B6">
        <f>[pricing-model.xlsx]'Premium Summary'!C6*0.17</f>
        <v>0</v>
      </c>
      <c r="C6">
        <f>'Ret Commercial Propert'!B6*QSCedingPct</f>
        <v>0</v>
      </c>
      <c r="D6">
        <f>'Ret Commercial Propert'!B6*0.05</f>
        <v>0</v>
      </c>
      <c r="E6">
        <f>'Ret Commercial Propert'!B6*0.02</f>
        <v>0</v>
      </c>
      <c r="F6">
        <f>'Ret Commercial Propert'!B6-'Ret Commercial Propert'!C6-'Ret Commercial Propert'!D6-'Ret Commercial Propert'!E6</f>
        <v>0</v>
      </c>
      <c r="G6">
        <f>'Ret Commercial Propert'!F6/'Ret Commercial Propert'!B6</f>
        <v>0</v>
      </c>
      <c r="H6">
        <f>[reserve-model.xlsx]'Reserve Summary'!C5/'Ret Commercial Propert'!F6*0.1</f>
        <v>0</v>
      </c>
    </row>
    <row r="7">
      <c r="A7">
        <v>2025</v>
      </c>
      <c r="B7">
        <f>[pricing-model.xlsx]'Premium Summary'!C7*0.17</f>
        <v>0</v>
      </c>
      <c r="C7">
        <f>'Ret Commercial Propert'!B7*QSCedingPct</f>
        <v>0</v>
      </c>
      <c r="D7">
        <f>'Ret Commercial Propert'!B7*0.05</f>
        <v>0</v>
      </c>
      <c r="E7">
        <f>'Ret Commercial Propert'!B7*0.02</f>
        <v>0</v>
      </c>
      <c r="F7">
        <f>'Ret Commercial Propert'!B7-'Ret Commercial Propert'!C7-'Ret Commercial Propert'!D7-'Ret Commercial Propert'!E7</f>
        <v>0</v>
      </c>
      <c r="G7">
        <f>'Ret Commercial Propert'!F7/'Ret Commercial Propert'!B7</f>
        <v>0</v>
      </c>
      <c r="H7">
        <f>[reserve-model.xlsx]'Reserve Summary'!C5/'Ret Commercial Propert'!F7*0.1</f>
        <v>0</v>
      </c>
    </row>
    <row r="8">
      <c r="A8">
        <v>2026</v>
      </c>
      <c r="B8">
        <f>[pricing-model.xlsx]'Premium Summary'!C8*0.17</f>
        <v>0</v>
      </c>
      <c r="C8">
        <f>'Ret Commercial Propert'!B8*QSCedingPct</f>
        <v>0</v>
      </c>
      <c r="D8">
        <f>'Ret Commercial Propert'!B8*0.05</f>
        <v>0</v>
      </c>
      <c r="E8">
        <f>'Ret Commercial Propert'!B8*0.02</f>
        <v>0</v>
      </c>
      <c r="F8">
        <f>'Ret Commercial Propert'!B8-'Ret Commercial Propert'!C8-'Ret Commercial Propert'!D8-'Ret Commercial Propert'!E8</f>
        <v>0</v>
      </c>
      <c r="G8">
        <f>'Ret Commercial Propert'!F8/'Ret Commercial Propert'!B8</f>
        <v>0</v>
      </c>
      <c r="H8">
        <f>[reserve-model.xlsx]'Reserve Summary'!C5/'Ret Commercial Propert'!F8*0.1</f>
        <v>0</v>
      </c>
    </row>
  </sheetData>
  <ignoredErrors>
    <ignoredError numberStoredAsText="1" sqref="A1:H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Year</v>
      </c>
      <c r="B1" t="str">
        <v>Gross Premium</v>
      </c>
      <c r="C1" t="str">
        <v>QS Ceded</v>
      </c>
      <c r="D1" t="str">
        <v>XOL Ceded</v>
      </c>
      <c r="E1" t="str">
        <v>Cat Ceded</v>
      </c>
      <c r="F1" t="str">
        <v>Net Retained</v>
      </c>
      <c r="G1" t="str">
        <v>Retention Ratio</v>
      </c>
      <c r="H1" t="str">
        <v>Net Loss Ratio</v>
      </c>
    </row>
    <row r="2">
      <c r="A2">
        <v>2020</v>
      </c>
      <c r="B2">
        <f>[pricing-model.xlsx]'Premium Summary'!C2*0.18</f>
        <v>0</v>
      </c>
      <c r="C2">
        <f>'Ret Professional Liab'!B2*QSCedingPct</f>
        <v>0</v>
      </c>
      <c r="D2">
        <f>'Ret Professional Liab'!B2*0.05</f>
        <v>0</v>
      </c>
      <c r="E2">
        <f>'Ret Professional Liab'!B2*0.02</f>
        <v>0</v>
      </c>
      <c r="F2">
        <f>'Ret Professional Liab'!B2-'Ret Professional Liab'!C2-'Ret Professional Liab'!D2-'Ret Professional Liab'!E2</f>
        <v>0</v>
      </c>
      <c r="G2">
        <f>'Ret Professional Liab'!F2/'Ret Professional Liab'!B2</f>
        <v>0</v>
      </c>
      <c r="H2">
        <f>[reserve-model.xlsx]'Reserve Summary'!C6/'Ret Professional Liab'!F2*0.1</f>
        <v>0</v>
      </c>
    </row>
    <row r="3">
      <c r="A3">
        <v>2021</v>
      </c>
      <c r="B3">
        <f>[pricing-model.xlsx]'Premium Summary'!C3*0.18</f>
        <v>0</v>
      </c>
      <c r="C3">
        <f>'Ret Professional Liab'!B3*QSCedingPct</f>
        <v>0</v>
      </c>
      <c r="D3">
        <f>'Ret Professional Liab'!B3*0.05</f>
        <v>0</v>
      </c>
      <c r="E3">
        <f>'Ret Professional Liab'!B3*0.02</f>
        <v>0</v>
      </c>
      <c r="F3">
        <f>'Ret Professional Liab'!B3-'Ret Professional Liab'!C3-'Ret Professional Liab'!D3-'Ret Professional Liab'!E3</f>
        <v>0</v>
      </c>
      <c r="G3">
        <f>'Ret Professional Liab'!F3/'Ret Professional Liab'!B3</f>
        <v>0</v>
      </c>
      <c r="H3">
        <f>[reserve-model.xlsx]'Reserve Summary'!C6/'Ret Professional Liab'!F3*0.1</f>
        <v>0</v>
      </c>
    </row>
    <row r="4">
      <c r="A4">
        <v>2022</v>
      </c>
      <c r="B4">
        <f>[pricing-model.xlsx]'Premium Summary'!C4*0.18</f>
        <v>0</v>
      </c>
      <c r="C4">
        <f>'Ret Professional Liab'!B4*QSCedingPct</f>
        <v>0</v>
      </c>
      <c r="D4">
        <f>'Ret Professional Liab'!B4*0.05</f>
        <v>0</v>
      </c>
      <c r="E4">
        <f>'Ret Professional Liab'!B4*0.02</f>
        <v>0</v>
      </c>
      <c r="F4">
        <f>'Ret Professional Liab'!B4-'Ret Professional Liab'!C4-'Ret Professional Liab'!D4-'Ret Professional Liab'!E4</f>
        <v>0</v>
      </c>
      <c r="G4">
        <f>'Ret Professional Liab'!F4/'Ret Professional Liab'!B4</f>
        <v>0</v>
      </c>
      <c r="H4">
        <f>[reserve-model.xlsx]'Reserve Summary'!C6/'Ret Professional Liab'!F4*0.1</f>
        <v>0</v>
      </c>
    </row>
    <row r="5">
      <c r="A5">
        <v>2023</v>
      </c>
      <c r="B5">
        <f>[pricing-model.xlsx]'Premium Summary'!C5*0.18</f>
        <v>0</v>
      </c>
      <c r="C5">
        <f>'Ret Professional Liab'!B5*QSCedingPct</f>
        <v>0</v>
      </c>
      <c r="D5">
        <f>'Ret Professional Liab'!B5*0.05</f>
        <v>0</v>
      </c>
      <c r="E5">
        <f>'Ret Professional Liab'!B5*0.02</f>
        <v>0</v>
      </c>
      <c r="F5">
        <f>'Ret Professional Liab'!B5-'Ret Professional Liab'!C5-'Ret Professional Liab'!D5-'Ret Professional Liab'!E5</f>
        <v>0</v>
      </c>
      <c r="G5">
        <f>'Ret Professional Liab'!F5/'Ret Professional Liab'!B5</f>
        <v>0</v>
      </c>
      <c r="H5">
        <f>[reserve-model.xlsx]'Reserve Summary'!C6/'Ret Professional Liab'!F5*0.1</f>
        <v>0</v>
      </c>
    </row>
    <row r="6">
      <c r="A6">
        <v>2024</v>
      </c>
      <c r="B6">
        <f>[pricing-model.xlsx]'Premium Summary'!C6*0.18</f>
        <v>0</v>
      </c>
      <c r="C6">
        <f>'Ret Professional Liab'!B6*QSCedingPct</f>
        <v>0</v>
      </c>
      <c r="D6">
        <f>'Ret Professional Liab'!B6*0.05</f>
        <v>0</v>
      </c>
      <c r="E6">
        <f>'Ret Professional Liab'!B6*0.02</f>
        <v>0</v>
      </c>
      <c r="F6">
        <f>'Ret Professional Liab'!B6-'Ret Professional Liab'!C6-'Ret Professional Liab'!D6-'Ret Professional Liab'!E6</f>
        <v>0</v>
      </c>
      <c r="G6">
        <f>'Ret Professional Liab'!F6/'Ret Professional Liab'!B6</f>
        <v>0</v>
      </c>
      <c r="H6">
        <f>[reserve-model.xlsx]'Reserve Summary'!C6/'Ret Professional Liab'!F6*0.1</f>
        <v>0</v>
      </c>
    </row>
    <row r="7">
      <c r="A7">
        <v>2025</v>
      </c>
      <c r="B7">
        <f>[pricing-model.xlsx]'Premium Summary'!C7*0.18</f>
        <v>0</v>
      </c>
      <c r="C7">
        <f>'Ret Professional Liab'!B7*QSCedingPct</f>
        <v>0</v>
      </c>
      <c r="D7">
        <f>'Ret Professional Liab'!B7*0.05</f>
        <v>0</v>
      </c>
      <c r="E7">
        <f>'Ret Professional Liab'!B7*0.02</f>
        <v>0</v>
      </c>
      <c r="F7">
        <f>'Ret Professional Liab'!B7-'Ret Professional Liab'!C7-'Ret Professional Liab'!D7-'Ret Professional Liab'!E7</f>
        <v>0</v>
      </c>
      <c r="G7">
        <f>'Ret Professional Liab'!F7/'Ret Professional Liab'!B7</f>
        <v>0</v>
      </c>
      <c r="H7">
        <f>[reserve-model.xlsx]'Reserve Summary'!C6/'Ret Professional Liab'!F7*0.1</f>
        <v>0</v>
      </c>
    </row>
    <row r="8">
      <c r="A8">
        <v>2026</v>
      </c>
      <c r="B8">
        <f>[pricing-model.xlsx]'Premium Summary'!C8*0.18</f>
        <v>0</v>
      </c>
      <c r="C8">
        <f>'Ret Professional Liab'!B8*QSCedingPct</f>
        <v>0</v>
      </c>
      <c r="D8">
        <f>'Ret Professional Liab'!B8*0.05</f>
        <v>0</v>
      </c>
      <c r="E8">
        <f>'Ret Professional Liab'!B8*0.02</f>
        <v>0</v>
      </c>
      <c r="F8">
        <f>'Ret Professional Liab'!B8-'Ret Professional Liab'!C8-'Ret Professional Liab'!D8-'Ret Professional Liab'!E8</f>
        <v>0</v>
      </c>
      <c r="G8">
        <f>'Ret Professional Liab'!F8/'Ret Professional Liab'!B8</f>
        <v>0</v>
      </c>
      <c r="H8">
        <f>[reserve-model.xlsx]'Reserve Summary'!C6/'Ret Professional Liab'!F8*0.1</f>
        <v>0</v>
      </c>
    </row>
  </sheetData>
  <ignoredErrors>
    <ignoredError numberStoredAsText="1" sqref="A1:H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Year</v>
      </c>
      <c r="B1" t="str">
        <v>Gross Premium</v>
      </c>
      <c r="C1" t="str">
        <v>QS Ceded</v>
      </c>
      <c r="D1" t="str">
        <v>XOL Ceded</v>
      </c>
      <c r="E1" t="str">
        <v>Cat Ceded</v>
      </c>
      <c r="F1" t="str">
        <v>Net Retained</v>
      </c>
      <c r="G1" t="str">
        <v>Retention Ratio</v>
      </c>
      <c r="H1" t="str">
        <v>Net Loss Ratio</v>
      </c>
    </row>
    <row r="2">
      <c r="A2">
        <v>2020</v>
      </c>
      <c r="B2">
        <f>[pricing-model.xlsx]'Premium Summary'!C2*0.19</f>
        <v>0</v>
      </c>
      <c r="C2">
        <f>'Ret Umbrella'!B2*QSCedingPct</f>
        <v>0</v>
      </c>
      <c r="D2">
        <f>'Ret Umbrella'!B2*0.05</f>
        <v>0</v>
      </c>
      <c r="E2">
        <f>'Ret Umbrella'!B2*0.02</f>
        <v>0</v>
      </c>
      <c r="F2">
        <f>'Ret Umbrella'!B2-'Ret Umbrella'!C2-'Ret Umbrella'!D2-'Ret Umbrella'!E2</f>
        <v>0</v>
      </c>
      <c r="G2">
        <f>'Ret Umbrella'!F2/'Ret Umbrella'!B2</f>
        <v>0</v>
      </c>
      <c r="H2">
        <f>[reserve-model.xlsx]'Reserve Summary'!C7/'Ret Umbrella'!F2*0.1</f>
        <v>0</v>
      </c>
    </row>
    <row r="3">
      <c r="A3">
        <v>2021</v>
      </c>
      <c r="B3">
        <f>[pricing-model.xlsx]'Premium Summary'!C3*0.19</f>
        <v>0</v>
      </c>
      <c r="C3">
        <f>'Ret Umbrella'!B3*QSCedingPct</f>
        <v>0</v>
      </c>
      <c r="D3">
        <f>'Ret Umbrella'!B3*0.05</f>
        <v>0</v>
      </c>
      <c r="E3">
        <f>'Ret Umbrella'!B3*0.02</f>
        <v>0</v>
      </c>
      <c r="F3">
        <f>'Ret Umbrella'!B3-'Ret Umbrella'!C3-'Ret Umbrella'!D3-'Ret Umbrella'!E3</f>
        <v>0</v>
      </c>
      <c r="G3">
        <f>'Ret Umbrella'!F3/'Ret Umbrella'!B3</f>
        <v>0</v>
      </c>
      <c r="H3">
        <f>[reserve-model.xlsx]'Reserve Summary'!C7/'Ret Umbrella'!F3*0.1</f>
        <v>0</v>
      </c>
    </row>
    <row r="4">
      <c r="A4">
        <v>2022</v>
      </c>
      <c r="B4">
        <f>[pricing-model.xlsx]'Premium Summary'!C4*0.19</f>
        <v>0</v>
      </c>
      <c r="C4">
        <f>'Ret Umbrella'!B4*QSCedingPct</f>
        <v>0</v>
      </c>
      <c r="D4">
        <f>'Ret Umbrella'!B4*0.05</f>
        <v>0</v>
      </c>
      <c r="E4">
        <f>'Ret Umbrella'!B4*0.02</f>
        <v>0</v>
      </c>
      <c r="F4">
        <f>'Ret Umbrella'!B4-'Ret Umbrella'!C4-'Ret Umbrella'!D4-'Ret Umbrella'!E4</f>
        <v>0</v>
      </c>
      <c r="G4">
        <f>'Ret Umbrella'!F4/'Ret Umbrella'!B4</f>
        <v>0</v>
      </c>
      <c r="H4">
        <f>[reserve-model.xlsx]'Reserve Summary'!C7/'Ret Umbrella'!F4*0.1</f>
        <v>0</v>
      </c>
    </row>
    <row r="5">
      <c r="A5">
        <v>2023</v>
      </c>
      <c r="B5">
        <f>[pricing-model.xlsx]'Premium Summary'!C5*0.19</f>
        <v>0</v>
      </c>
      <c r="C5">
        <f>'Ret Umbrella'!B5*QSCedingPct</f>
        <v>0</v>
      </c>
      <c r="D5">
        <f>'Ret Umbrella'!B5*0.05</f>
        <v>0</v>
      </c>
      <c r="E5">
        <f>'Ret Umbrella'!B5*0.02</f>
        <v>0</v>
      </c>
      <c r="F5">
        <f>'Ret Umbrella'!B5-'Ret Umbrella'!C5-'Ret Umbrella'!D5-'Ret Umbrella'!E5</f>
        <v>0</v>
      </c>
      <c r="G5">
        <f>'Ret Umbrella'!F5/'Ret Umbrella'!B5</f>
        <v>0</v>
      </c>
      <c r="H5">
        <f>[reserve-model.xlsx]'Reserve Summary'!C7/'Ret Umbrella'!F5*0.1</f>
        <v>0</v>
      </c>
    </row>
    <row r="6">
      <c r="A6">
        <v>2024</v>
      </c>
      <c r="B6">
        <f>[pricing-model.xlsx]'Premium Summary'!C6*0.19</f>
        <v>0</v>
      </c>
      <c r="C6">
        <f>'Ret Umbrella'!B6*QSCedingPct</f>
        <v>0</v>
      </c>
      <c r="D6">
        <f>'Ret Umbrella'!B6*0.05</f>
        <v>0</v>
      </c>
      <c r="E6">
        <f>'Ret Umbrella'!B6*0.02</f>
        <v>0</v>
      </c>
      <c r="F6">
        <f>'Ret Umbrella'!B6-'Ret Umbrella'!C6-'Ret Umbrella'!D6-'Ret Umbrella'!E6</f>
        <v>0</v>
      </c>
      <c r="G6">
        <f>'Ret Umbrella'!F6/'Ret Umbrella'!B6</f>
        <v>0</v>
      </c>
      <c r="H6">
        <f>[reserve-model.xlsx]'Reserve Summary'!C7/'Ret Umbrella'!F6*0.1</f>
        <v>0</v>
      </c>
    </row>
    <row r="7">
      <c r="A7">
        <v>2025</v>
      </c>
      <c r="B7">
        <f>[pricing-model.xlsx]'Premium Summary'!C7*0.19</f>
        <v>0</v>
      </c>
      <c r="C7">
        <f>'Ret Umbrella'!B7*QSCedingPct</f>
        <v>0</v>
      </c>
      <c r="D7">
        <f>'Ret Umbrella'!B7*0.05</f>
        <v>0</v>
      </c>
      <c r="E7">
        <f>'Ret Umbrella'!B7*0.02</f>
        <v>0</v>
      </c>
      <c r="F7">
        <f>'Ret Umbrella'!B7-'Ret Umbrella'!C7-'Ret Umbrella'!D7-'Ret Umbrella'!E7</f>
        <v>0</v>
      </c>
      <c r="G7">
        <f>'Ret Umbrella'!F7/'Ret Umbrella'!B7</f>
        <v>0</v>
      </c>
      <c r="H7">
        <f>[reserve-model.xlsx]'Reserve Summary'!C7/'Ret Umbrella'!F7*0.1</f>
        <v>0</v>
      </c>
    </row>
    <row r="8">
      <c r="A8">
        <v>2026</v>
      </c>
      <c r="B8">
        <f>[pricing-model.xlsx]'Premium Summary'!C8*0.19</f>
        <v>0</v>
      </c>
      <c r="C8">
        <f>'Ret Umbrella'!B8*QSCedingPct</f>
        <v>0</v>
      </c>
      <c r="D8">
        <f>'Ret Umbrella'!B8*0.05</f>
        <v>0</v>
      </c>
      <c r="E8">
        <f>'Ret Umbrella'!B8*0.02</f>
        <v>0</v>
      </c>
      <c r="F8">
        <f>'Ret Umbrella'!B8-'Ret Umbrella'!C8-'Ret Umbrella'!D8-'Ret Umbrella'!E8</f>
        <v>0</v>
      </c>
      <c r="G8">
        <f>'Ret Umbrella'!F8/'Ret Umbrella'!B8</f>
        <v>0</v>
      </c>
      <c r="H8">
        <f>[reserve-model.xlsx]'Reserve Summary'!C7/'Ret Umbrella'!F8*0.1</f>
        <v>0</v>
      </c>
    </row>
  </sheetData>
  <ignoredErrors>
    <ignoredError numberStoredAsText="1" sqref="A1:H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Layer</v>
      </c>
      <c r="B1" t="str">
        <v>Total Ceded Prem</v>
      </c>
      <c r="C1" t="str">
        <v>Total Ceded Loss</v>
      </c>
      <c r="D1" t="str">
        <v>Net Cost</v>
      </c>
      <c r="E1" t="str">
        <v>ROL</v>
      </c>
      <c r="F1" t="str">
        <v>Payback Period</v>
      </c>
    </row>
    <row r="2">
      <c r="A2" t="str">
        <v>QS 30%</v>
      </c>
      <c r="B2">
        <f>SUM('Cession QS 30'!C2:C8)</f>
        <v>0</v>
      </c>
      <c r="C2">
        <f>SUM('Cession QS 30'!D2:D8)</f>
        <v>0</v>
      </c>
      <c r="D2">
        <f>'Reinsurance Summary'!B2-'Reinsurance Summary'!C2</f>
        <v>0</v>
      </c>
      <c r="E2">
        <f>'Reinsurance Summary'!B2/'Treaty Structure'!C2</f>
        <v>0</v>
      </c>
      <c r="F2">
        <f>'Treaty Structure'!C2/'Reinsurance Summary'!B2*7</f>
        <v>0</v>
      </c>
    </row>
    <row r="3">
      <c r="A3" t="str">
        <v>Per Occ 500xs500</v>
      </c>
      <c r="B3">
        <f>SUM('Cession Per Occ 500xs500'!C2:C8)</f>
        <v>0</v>
      </c>
      <c r="C3">
        <f>SUM('Cession Per Occ 500xs500'!D2:D8)</f>
        <v>0</v>
      </c>
      <c r="D3">
        <f>'Reinsurance Summary'!B3-'Reinsurance Summary'!C3</f>
        <v>0</v>
      </c>
      <c r="E3">
        <f>'Reinsurance Summary'!B3/'Treaty Structure'!C3</f>
        <v>0</v>
      </c>
      <c r="F3">
        <f>'Treaty Structure'!C3/'Reinsurance Summary'!B3*7</f>
        <v>0</v>
      </c>
    </row>
    <row r="4">
      <c r="A4" t="str">
        <v>Per Occ 2Mxs1M</v>
      </c>
      <c r="B4">
        <f>SUM('Cession Per Occ 2Mxs1M'!C2:C8)</f>
        <v>0</v>
      </c>
      <c r="C4">
        <f>SUM('Cession Per Occ 2Mxs1M'!D2:D8)</f>
        <v>0</v>
      </c>
      <c r="D4">
        <f>'Reinsurance Summary'!B4-'Reinsurance Summary'!C4</f>
        <v>0</v>
      </c>
      <c r="E4">
        <f>'Reinsurance Summary'!B4/'Treaty Structure'!C4</f>
        <v>0</v>
      </c>
      <c r="F4">
        <f>'Treaty Structure'!C4/'Reinsurance Summary'!B4*7</f>
        <v>0</v>
      </c>
    </row>
    <row r="5">
      <c r="A5" t="str">
        <v>Cat 10Mxs5M</v>
      </c>
      <c r="B5">
        <f>SUM('Cession Cat 10Mxs5M'!C2:C8)</f>
        <v>0</v>
      </c>
      <c r="C5">
        <f>SUM('Cession Cat 10Mxs5M'!D2:D8)</f>
        <v>0</v>
      </c>
      <c r="D5">
        <f>'Reinsurance Summary'!B5-'Reinsurance Summary'!C5</f>
        <v>0</v>
      </c>
      <c r="E5">
        <f>'Reinsurance Summary'!B5/'Treaty Structure'!C5</f>
        <v>0</v>
      </c>
      <c r="F5">
        <f>'Treaty Structure'!C5/'Reinsurance Summary'!B5*7</f>
        <v>0</v>
      </c>
    </row>
    <row r="6">
      <c r="A6" t="str">
        <v>Cat 25Mxs15M</v>
      </c>
      <c r="B6">
        <f>SUM('Cession Cat 25Mxs15M'!C2:C8)</f>
        <v>0</v>
      </c>
      <c r="C6">
        <f>SUM('Cession Cat 25Mxs15M'!D2:D8)</f>
        <v>0</v>
      </c>
      <c r="D6">
        <f>'Reinsurance Summary'!B6-'Reinsurance Summary'!C6</f>
        <v>0</v>
      </c>
      <c r="E6">
        <f>'Reinsurance Summary'!B6/'Treaty Structure'!C6</f>
        <v>0</v>
      </c>
      <c r="F6">
        <f>'Treaty Structure'!C6/'Reinsurance Summary'!B6*7</f>
        <v>0</v>
      </c>
    </row>
    <row r="7">
      <c r="A7" t="str">
        <v>Clash 5Mxs5M</v>
      </c>
      <c r="B7">
        <f>SUM('Cession Clash 5Mxs5M'!C2:C8)</f>
        <v>0</v>
      </c>
      <c r="C7">
        <f>SUM('Cession Clash 5Mxs5M'!D2:D8)</f>
        <v>0</v>
      </c>
      <c r="D7">
        <f>'Reinsurance Summary'!B7-'Reinsurance Summary'!C7</f>
        <v>0</v>
      </c>
      <c r="E7">
        <f>'Reinsurance Summary'!B7/'Treaty Structure'!C7</f>
        <v>0</v>
      </c>
      <c r="F7">
        <f>'Treaty Structure'!C7/'Reinsurance Summary'!B7*7</f>
        <v>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Treaty Structure</vt:lpstr>
      <vt:lpstr>Cession QS 30</vt:lpstr>
      <vt:lpstr>Cession Per Occ 500xs500</vt:lpstr>
      <vt:lpstr>Cession Per Occ 2Mxs1M</vt:lpstr>
      <vt:lpstr>Cession Cat 10Mxs5M</vt:lpstr>
      <vt:lpstr>Cession Cat 25Mxs15M</vt:lpstr>
      <vt:lpstr>Cession Clash 5Mxs5M</vt:lpstr>
      <vt:lpstr>Ret Auto Liability</vt:lpstr>
      <vt:lpstr>Ret General Liability</vt:lpstr>
      <vt:lpstr>Ret Workers Comp</vt:lpstr>
      <vt:lpstr>Ret Commercial Propert</vt:lpstr>
      <vt:lpstr>Ret Professional Liab</vt:lpstr>
      <vt:lpstr>Ret Umbrella</vt:lpstr>
      <vt:lpstr>Reinsurance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
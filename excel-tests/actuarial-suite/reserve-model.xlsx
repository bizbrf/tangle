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Exposure Summary" sheetId="2" r:id="rId2"/>
    <sheet name="Tri Auto Liability" sheetId="3" r:id="rId3"/>
    <sheet name="DF Auto Liability" sheetId="4" r:id="rId4"/>
    <sheet name="IBNR Auto Liability" sheetId="5" r:id="rId5"/>
    <sheet name="Tri Auto Physical" sheetId="6" r:id="rId6"/>
    <sheet name="DF Auto Physical" sheetId="7" r:id="rId7"/>
    <sheet name="IBNR Auto Physical" sheetId="8" r:id="rId8"/>
    <sheet name="Tri General Liability" sheetId="9" r:id="rId9"/>
    <sheet name="DF General Liability" sheetId="10" r:id="rId10"/>
    <sheet name="IBNR General Liability" sheetId="11" r:id="rId11"/>
    <sheet name="Tri Workers Comp" sheetId="12" r:id="rId12"/>
    <sheet name="DF Workers Comp" sheetId="13" r:id="rId13"/>
    <sheet name="IBNR Workers Comp" sheetId="14" r:id="rId14"/>
    <sheet name="Tri Commercial Property" sheetId="15" r:id="rId15"/>
    <sheet name="DF Commercial Property" sheetId="16" r:id="rId16"/>
    <sheet name="IBNR Commercial Property" sheetId="17" r:id="rId17"/>
    <sheet name="Tri Professional Liab" sheetId="18" r:id="rId18"/>
    <sheet name="DF Professional Liab" sheetId="19" r:id="rId19"/>
    <sheet name="IBNR Professional Liab" sheetId="20" r:id="rId20"/>
    <sheet name="Tri Umbrella" sheetId="21" r:id="rId21"/>
    <sheet name="DF Umbrella" sheetId="22" r:id="rId22"/>
    <sheet name="IBNR Umbrella" sheetId="23" r:id="rId23"/>
    <sheet name="Tri Medical Malpractice" sheetId="24" r:id="rId24"/>
    <sheet name="DF Medical Malpractice" sheetId="25" r:id="rId25"/>
    <sheet name="IBNR Medical Malpractice" sheetId="26" r:id="rId26"/>
    <sheet name="Reserve Summary" sheetId="27" r:id="rId27"/>
    <sheet name="LDF Summary" sheetId="28" r:id="rId28"/>
    <sheet name="Trend Analysis" sheetId="29" r:id="rId29"/>
    <sheet name="ACE" sheetId="30" r:id="rId30"/>
  </sheets>
  <definedNames>
    <definedName name="DiscountRate">Assumptions!$B$5</definedName>
    <definedName name="RiskMargin">Assumptions!$B$6</definedName>
    <definedName name="ULAEFactor">Assumptions!$B$7</definedName>
    <definedName name="SalvageSubro">Assumptions!$B$8</definedName>
    <definedName name="TailFactor">Assumptions!$B$9</definedName>
    <definedName name="CredThreshold">Assumptions!$B$10</definedName>
    <definedName name="ConfLevel">Assumptions!$B$11</definedName>
    <definedName name="BulkReservePct">Assumptions!$B$12</definedName>
    <definedName name="CaseAdequacy">Assumptions!$B$13</definedName>
    <definedName name="CPITrend">Assumptions!$B$14</definedName>
    <definedName name="MedicalTrend">Assumptions!$B$15</definedName>
    <definedName name="LegalTrend">Assumptions!$B$16</definedName>
    <definedName name="PaidTriangle_AutoLiability">'Tri Auto Liability'!$A$1:$K$11</definedName>
    <definedName name="SelectedLDF_AutoLiability">'DF Auto Liability'!$C$2:$C$10</definedName>
    <definedName name="CumLDF_AutoLiability">'DF Auto Liability'!$D$2:$D$10</definedName>
    <definedName name="IBNR_AutoLiability">'IBNR Auto Liability'!$E$2:$E$11</definedName>
    <definedName name="TotalReserve_AutoLiability">'IBNR Auto Liability'!$H$2:$H$11</definedName>
    <definedName name="PaidTriangle_AutoPhysical">'Tri Auto Physical'!$A$1:$K$11</definedName>
    <definedName name="SelectedLDF_AutoPhysical">'DF Auto Physical'!$C$2:$C$10</definedName>
    <definedName name="CumLDF_AutoPhysical">'DF Auto Physical'!$D$2:$D$10</definedName>
    <definedName name="IBNR_AutoPhysical">'IBNR Auto Physical'!$E$2:$E$11</definedName>
    <definedName name="TotalReserve_AutoPhysical">'IBNR Auto Physical'!$H$2:$H$11</definedName>
    <definedName name="PaidTriangle_GeneralLiability">'Tri General Liability'!$A$1:$K$11</definedName>
    <definedName name="SelectedLDF_GeneralLiability">'DF General Liability'!$C$2:$C$10</definedName>
    <definedName name="CumLDF_GeneralLiability">'DF General Liability'!$D$2:$D$10</definedName>
    <definedName name="IBNR_GeneralLiability">'IBNR General Liability'!$E$2:$E$11</definedName>
    <definedName name="TotalReserve_GeneralLiability">'IBNR General Liability'!$H$2:$H$11</definedName>
    <definedName name="PaidTriangle_WorkersComp">'Tri Workers Comp'!$A$1:$K$11</definedName>
    <definedName name="SelectedLDF_WorkersComp">'DF Workers Comp'!$C$2:$C$10</definedName>
    <definedName name="CumLDF_WorkersComp">'DF Workers Comp'!$D$2:$D$10</definedName>
    <definedName name="IBNR_WorkersComp">'IBNR Workers Comp'!$E$2:$E$11</definedName>
    <definedName name="TotalReserve_WorkersComp">'IBNR Workers Comp'!$H$2:$H$11</definedName>
    <definedName name="PaidTriangle_CommercialProperty">'Tri Commercial Property'!$A$1:$K$11</definedName>
    <definedName name="SelectedLDF_CommercialProperty">'DF Commercial Property'!$C$2:$C$10</definedName>
    <definedName name="CumLDF_CommercialProperty">'DF Commercial Property'!$D$2:$D$10</definedName>
    <definedName name="IBNR_CommercialProperty">'IBNR Commercial Property'!$E$2:$E$11</definedName>
    <definedName name="TotalReserve_CommercialProperty">'IBNR Commercial Property'!$H$2:$H$11</definedName>
    <definedName name="PaidTriangle_ProfessionalLiab">'Tri Professional Liab'!$A$1:$K$11</definedName>
    <definedName name="SelectedLDF_ProfessionalLiab">'DF Professional Liab'!$C$2:$C$10</definedName>
    <definedName name="CumLDF_ProfessionalLiab">'DF Professional Liab'!$D$2:$D$10</definedName>
    <definedName name="IBNR_ProfessionalLiab">'IBNR Professional Liab'!$E$2:$E$11</definedName>
    <definedName name="TotalReserve_ProfessionalLiab">'IBNR Professional Liab'!$H$2:$H$11</definedName>
    <definedName name="PaidTriangle_Umbrella">'Tri Umbrella'!$A$1:$K$11</definedName>
    <definedName name="SelectedLDF_Umbrella">'DF Umbrella'!$C$2:$C$10</definedName>
    <definedName name="CumLDF_Umbrella">'DF Umbrella'!$D$2:$D$10</definedName>
    <definedName name="IBNR_Umbrella">'IBNR Umbrella'!$E$2:$E$11</definedName>
    <definedName name="TotalReserve_Umbrella">'IBNR Umbrella'!$H$2:$H$11</definedName>
    <definedName name="PaidTriangle_MedicalMalpractice">'Tri Medical Malpractice'!$A$1:$K$11</definedName>
    <definedName name="SelectedLDF_MedicalMalpractice">'DF Medical Malpractice'!$C$2:$C$10</definedName>
    <definedName name="CumLDF_MedicalMalpractice">'DF Medical Malpractice'!$D$2:$D$10</definedName>
    <definedName name="IBNR_MedicalMalpractice">'IBNR Medical Malpractice'!$E$2:$E$11</definedName>
    <definedName name="TotalReserve_MedicalMalpractice">'IBNR Medical Malpractice'!$H$2:$H$11</definedName>
    <definedName name="TotalNetReserve">'Reserve Summary'!$J$10</definedName>
    <definedName name="TotalGrossReserve">'Reserve Summary'!$H$10</definedName>
    <definedName name="TotalRiskMargin">'Reserve Summary'!$K$10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Reserve Model Assumptions</v>
      </c>
    </row>
    <row r="2">
      <c r="A2" t="str">
        <v>As of Date</v>
      </c>
      <c r="B2" t="str">
        <v>12/31/2025</v>
      </c>
    </row>
    <row r="3">
      <c r="A3" t="str">
        <v/>
      </c>
    </row>
    <row r="4">
      <c r="A4" t="str">
        <v>Parameter</v>
      </c>
      <c r="B4" t="str">
        <v>Value</v>
      </c>
      <c r="C4" t="str">
        <v>Source</v>
      </c>
    </row>
    <row r="5">
      <c r="A5" t="str">
        <v>Discount Rate</v>
      </c>
      <c r="B5">
        <v>0.045</v>
      </c>
      <c r="C5" t="str">
        <v>Investment Policy</v>
      </c>
    </row>
    <row r="6">
      <c r="A6" t="str">
        <v>Risk Margin %</v>
      </c>
      <c r="B6">
        <v>0.075</v>
      </c>
      <c r="C6" t="str">
        <v>Board Policy</v>
      </c>
    </row>
    <row r="7">
      <c r="A7" t="str">
        <v>ULAE Factor</v>
      </c>
      <c r="B7">
        <v>0.08</v>
      </c>
      <c r="C7" t="str">
        <v>Expense Study</v>
      </c>
    </row>
    <row r="8">
      <c r="A8" t="str">
        <v>Salvage &amp; Subro %</v>
      </c>
      <c r="B8">
        <v>0.03</v>
      </c>
      <c r="C8" t="str">
        <v>Historical</v>
      </c>
    </row>
    <row r="9">
      <c r="A9" t="str">
        <v>Tail Factor</v>
      </c>
      <c r="B9">
        <v>1.015</v>
      </c>
      <c r="C9" t="str">
        <v>Industry</v>
      </c>
    </row>
    <row r="10">
      <c r="A10" t="str">
        <v>Credibility Threshold</v>
      </c>
      <c r="B10">
        <v>0.7</v>
      </c>
      <c r="C10" t="str">
        <v>Actuarial Standards</v>
      </c>
    </row>
    <row r="11">
      <c r="A11" t="str">
        <v>Confidence Level</v>
      </c>
      <c r="B11">
        <v>0.75</v>
      </c>
      <c r="C11" t="str">
        <v>Management</v>
      </c>
    </row>
    <row r="12">
      <c r="A12" t="str">
        <v>Bulk Reserve %</v>
      </c>
      <c r="B12">
        <v>0.05</v>
      </c>
      <c r="C12" t="str">
        <v>Actuarial Judgment</v>
      </c>
    </row>
    <row r="13">
      <c r="A13" t="str">
        <v>Case Adequacy Factor</v>
      </c>
      <c r="B13">
        <v>1.02</v>
      </c>
      <c r="C13" t="str">
        <v>Case Review</v>
      </c>
    </row>
    <row r="14">
      <c r="A14" t="str">
        <v>CPI Trend</v>
      </c>
      <c r="B14">
        <v>0.032</v>
      </c>
      <c r="C14" t="str">
        <v>Economic</v>
      </c>
    </row>
    <row r="15">
      <c r="A15" t="str">
        <v>Medical Trend</v>
      </c>
      <c r="B15">
        <v>0.065</v>
      </c>
      <c r="C15" t="str">
        <v>Industry Study</v>
      </c>
    </row>
    <row r="16">
      <c r="A16" t="str">
        <v>Legal Trend</v>
      </c>
      <c r="B16">
        <v>0.045</v>
      </c>
      <c r="C16" t="str">
        <v>Claims Dept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LOB</v>
      </c>
      <c r="B1" t="str">
        <v>2016</v>
      </c>
      <c r="C1" t="str">
        <v>2017</v>
      </c>
      <c r="D1" t="str">
        <v>2018</v>
      </c>
      <c r="E1" t="str">
        <v>2019</v>
      </c>
      <c r="F1" t="str">
        <v>2020</v>
      </c>
      <c r="G1" t="str">
        <v>2021</v>
      </c>
      <c r="H1" t="str">
        <v>2022</v>
      </c>
      <c r="I1" t="str">
        <v>2023</v>
      </c>
      <c r="J1" t="str">
        <v>2024</v>
      </c>
      <c r="K1" t="str">
        <v>2025</v>
      </c>
    </row>
    <row r="2">
      <c r="A2" t="str">
        <v>Auto Liability</v>
      </c>
      <c r="B2">
        <v>168366</v>
      </c>
      <c r="C2">
        <v>97133</v>
      </c>
      <c r="D2">
        <v>101586</v>
      </c>
      <c r="E2">
        <v>149445</v>
      </c>
      <c r="F2">
        <v>238548</v>
      </c>
      <c r="G2">
        <v>119011</v>
      </c>
      <c r="H2">
        <v>107903</v>
      </c>
      <c r="I2">
        <v>219932</v>
      </c>
      <c r="J2">
        <v>146221</v>
      </c>
      <c r="K2">
        <v>110942</v>
      </c>
    </row>
    <row r="3">
      <c r="A3" t="str">
        <v>Auto Physical</v>
      </c>
      <c r="B3">
        <v>86140</v>
      </c>
      <c r="C3">
        <v>131740</v>
      </c>
      <c r="D3">
        <v>172777</v>
      </c>
      <c r="E3">
        <v>209644</v>
      </c>
      <c r="F3">
        <v>109029</v>
      </c>
      <c r="G3">
        <v>179556</v>
      </c>
      <c r="H3">
        <v>52451</v>
      </c>
      <c r="I3">
        <v>123560</v>
      </c>
      <c r="J3">
        <v>231749</v>
      </c>
      <c r="K3">
        <v>116512</v>
      </c>
    </row>
    <row r="4">
      <c r="A4" t="str">
        <v>General Liability</v>
      </c>
      <c r="B4">
        <v>69693</v>
      </c>
      <c r="C4">
        <v>246015</v>
      </c>
      <c r="D4">
        <v>184658</v>
      </c>
      <c r="E4">
        <v>108221</v>
      </c>
      <c r="F4">
        <v>208929</v>
      </c>
      <c r="G4">
        <v>66955</v>
      </c>
      <c r="H4">
        <v>242483</v>
      </c>
      <c r="I4">
        <v>185859</v>
      </c>
      <c r="J4">
        <v>224722</v>
      </c>
      <c r="K4">
        <v>93983</v>
      </c>
    </row>
    <row r="5">
      <c r="A5" t="str">
        <v>Workers Comp</v>
      </c>
      <c r="B5">
        <v>104045</v>
      </c>
      <c r="C5">
        <v>101199</v>
      </c>
      <c r="D5">
        <v>167833</v>
      </c>
      <c r="E5">
        <v>104368</v>
      </c>
      <c r="F5">
        <v>77783</v>
      </c>
      <c r="G5">
        <v>69201</v>
      </c>
      <c r="H5">
        <v>173003</v>
      </c>
      <c r="I5">
        <v>156194</v>
      </c>
      <c r="J5">
        <v>66476</v>
      </c>
      <c r="K5">
        <v>142520</v>
      </c>
    </row>
    <row r="6">
      <c r="A6" t="str">
        <v>Commercial Property</v>
      </c>
      <c r="B6">
        <v>171246</v>
      </c>
      <c r="C6">
        <v>206046</v>
      </c>
      <c r="D6">
        <v>95273</v>
      </c>
      <c r="E6">
        <v>169254</v>
      </c>
      <c r="F6">
        <v>72919</v>
      </c>
      <c r="G6">
        <v>118496</v>
      </c>
      <c r="H6">
        <v>177980</v>
      </c>
      <c r="I6">
        <v>89412</v>
      </c>
      <c r="J6">
        <v>88578</v>
      </c>
      <c r="K6">
        <v>206638</v>
      </c>
    </row>
    <row r="7">
      <c r="A7" t="str">
        <v>Professional Liab</v>
      </c>
      <c r="B7">
        <v>67745</v>
      </c>
      <c r="C7">
        <v>246849</v>
      </c>
      <c r="D7">
        <v>230067</v>
      </c>
      <c r="E7">
        <v>190291</v>
      </c>
      <c r="F7">
        <v>51844</v>
      </c>
      <c r="G7">
        <v>128852</v>
      </c>
      <c r="H7">
        <v>220432</v>
      </c>
      <c r="I7">
        <v>103928</v>
      </c>
      <c r="J7">
        <v>71380</v>
      </c>
      <c r="K7">
        <v>80312</v>
      </c>
    </row>
    <row r="8">
      <c r="A8" t="str">
        <v>Umbrella</v>
      </c>
      <c r="B8">
        <v>176794</v>
      </c>
      <c r="C8">
        <v>54908</v>
      </c>
      <c r="D8">
        <v>193511</v>
      </c>
      <c r="E8">
        <v>184680</v>
      </c>
      <c r="F8">
        <v>155767</v>
      </c>
      <c r="G8">
        <v>74660</v>
      </c>
      <c r="H8">
        <v>217693</v>
      </c>
      <c r="I8">
        <v>188589</v>
      </c>
      <c r="J8">
        <v>244282</v>
      </c>
      <c r="K8">
        <v>79244</v>
      </c>
    </row>
    <row r="9">
      <c r="A9" t="str">
        <v>Medical Malpractice</v>
      </c>
      <c r="B9">
        <v>106657</v>
      </c>
      <c r="C9">
        <v>150125</v>
      </c>
      <c r="D9">
        <v>247999</v>
      </c>
      <c r="E9">
        <v>121398</v>
      </c>
      <c r="F9">
        <v>106112</v>
      </c>
      <c r="G9">
        <v>220022</v>
      </c>
      <c r="H9">
        <v>102585</v>
      </c>
      <c r="I9">
        <v>220198</v>
      </c>
      <c r="J9">
        <v>195061</v>
      </c>
      <c r="K9">
        <v>91306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104598</v>
      </c>
      <c r="C2">
        <v>124574</v>
      </c>
      <c r="D2">
        <v>118480</v>
      </c>
      <c r="E2">
        <v>133870</v>
      </c>
      <c r="F2">
        <v>162448</v>
      </c>
      <c r="G2">
        <v>177002</v>
      </c>
      <c r="H2">
        <v>177634</v>
      </c>
      <c r="I2">
        <v>218069</v>
      </c>
      <c r="J2">
        <v>236158</v>
      </c>
      <c r="K2">
        <v>223633</v>
      </c>
    </row>
    <row r="3">
      <c r="A3">
        <v>2017</v>
      </c>
      <c r="B3">
        <v>103581</v>
      </c>
      <c r="C3">
        <v>115256</v>
      </c>
      <c r="D3">
        <v>142185</v>
      </c>
      <c r="E3">
        <v>163920</v>
      </c>
      <c r="F3">
        <v>167906</v>
      </c>
      <c r="G3">
        <v>198852</v>
      </c>
      <c r="H3">
        <v>195682</v>
      </c>
      <c r="I3">
        <v>206561</v>
      </c>
      <c r="J3">
        <v>263510</v>
      </c>
    </row>
    <row r="4">
      <c r="A4">
        <v>2018</v>
      </c>
      <c r="B4">
        <v>116506</v>
      </c>
      <c r="C4">
        <v>140053</v>
      </c>
      <c r="D4">
        <v>158597</v>
      </c>
      <c r="E4">
        <v>163588</v>
      </c>
      <c r="F4">
        <v>191149</v>
      </c>
      <c r="G4">
        <v>195954</v>
      </c>
      <c r="H4">
        <v>207471</v>
      </c>
      <c r="I4">
        <v>255519</v>
      </c>
    </row>
    <row r="5">
      <c r="A5">
        <v>2019</v>
      </c>
      <c r="B5">
        <v>128502</v>
      </c>
      <c r="C5">
        <v>152268</v>
      </c>
      <c r="D5">
        <v>162966</v>
      </c>
      <c r="E5">
        <v>184919</v>
      </c>
      <c r="F5">
        <v>205214</v>
      </c>
      <c r="G5">
        <v>238147</v>
      </c>
      <c r="H5">
        <v>248846</v>
      </c>
    </row>
    <row r="6">
      <c r="A6">
        <v>2020</v>
      </c>
      <c r="B6">
        <v>145877</v>
      </c>
      <c r="C6">
        <v>162460</v>
      </c>
      <c r="D6">
        <v>190827</v>
      </c>
      <c r="E6">
        <v>210020</v>
      </c>
      <c r="F6">
        <v>214611</v>
      </c>
      <c r="G6">
        <v>266149</v>
      </c>
    </row>
    <row r="7">
      <c r="A7">
        <v>2021</v>
      </c>
      <c r="B7">
        <v>161459</v>
      </c>
      <c r="C7">
        <v>184565</v>
      </c>
      <c r="D7">
        <v>187695</v>
      </c>
      <c r="E7">
        <v>227940</v>
      </c>
      <c r="F7">
        <v>248565</v>
      </c>
    </row>
    <row r="8">
      <c r="A8">
        <v>2022</v>
      </c>
      <c r="B8">
        <v>151740</v>
      </c>
      <c r="C8">
        <v>200953</v>
      </c>
      <c r="D8">
        <v>193217</v>
      </c>
      <c r="E8">
        <v>253642</v>
      </c>
    </row>
    <row r="9">
      <c r="A9">
        <v>2023</v>
      </c>
      <c r="B9">
        <v>177218</v>
      </c>
      <c r="C9">
        <v>194572</v>
      </c>
      <c r="D9">
        <v>201875</v>
      </c>
    </row>
    <row r="10">
      <c r="A10">
        <v>2024</v>
      </c>
      <c r="B10">
        <v>184180</v>
      </c>
      <c r="C10">
        <v>214238</v>
      </c>
    </row>
    <row r="11">
      <c r="A11">
        <v>2025</v>
      </c>
      <c r="B11">
        <v>198309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Auto Liability'!C2/'Tri Auto Liability'!B2</f>
        <v>0</v>
      </c>
      <c r="C2">
        <f>'DF Auto Liability'!B2*CredThreshold+(1-CredThreshold)*1.05</f>
        <v>0</v>
      </c>
      <c r="D2">
        <f>'DF Auto Liability'!C2*'DF Auto Liability'!D3</f>
        <v>0</v>
      </c>
      <c r="E2">
        <f>'DF Auto Liability'!D2*TailFactor</f>
        <v>0</v>
      </c>
    </row>
    <row r="3">
      <c r="A3" t="str">
        <v>2-3</v>
      </c>
      <c r="B3">
        <f>'Tri Auto Liability'!D2/'Tri Auto Liability'!C2</f>
        <v>0</v>
      </c>
      <c r="C3">
        <f>'DF Auto Liability'!B3*CredThreshold+(1-CredThreshold)*1.05</f>
        <v>0</v>
      </c>
      <c r="D3">
        <f>'DF Auto Liability'!C3*'DF Auto Liability'!D4</f>
        <v>0</v>
      </c>
      <c r="E3">
        <f>'DF Auto Liability'!D3*TailFactor</f>
        <v>0</v>
      </c>
    </row>
    <row r="4">
      <c r="A4" t="str">
        <v>3-4</v>
      </c>
      <c r="B4">
        <f>'Tri Auto Liability'!E2/'Tri Auto Liability'!D2</f>
        <v>0</v>
      </c>
      <c r="C4">
        <f>'DF Auto Liability'!B4*CredThreshold+(1-CredThreshold)*1.05</f>
        <v>0</v>
      </c>
      <c r="D4">
        <f>'DF Auto Liability'!C4*'DF Auto Liability'!D5</f>
        <v>0</v>
      </c>
      <c r="E4">
        <f>'DF Auto Liability'!D4*TailFactor</f>
        <v>0</v>
      </c>
    </row>
    <row r="5">
      <c r="A5" t="str">
        <v>4-5</v>
      </c>
      <c r="B5">
        <f>'Tri Auto Liability'!F2/'Tri Auto Liability'!E2</f>
        <v>0</v>
      </c>
      <c r="C5">
        <f>'DF Auto Liability'!B5*CredThreshold+(1-CredThreshold)*1.05</f>
        <v>0</v>
      </c>
      <c r="D5">
        <f>'DF Auto Liability'!C5*'DF Auto Liability'!D6</f>
        <v>0</v>
      </c>
      <c r="E5">
        <f>'DF Auto Liability'!D5*TailFactor</f>
        <v>0</v>
      </c>
    </row>
    <row r="6">
      <c r="A6" t="str">
        <v>5-6</v>
      </c>
      <c r="B6">
        <f>'Tri Auto Liability'!G2/'Tri Auto Liability'!F2</f>
        <v>0</v>
      </c>
      <c r="C6">
        <f>'DF Auto Liability'!B6*CredThreshold+(1-CredThreshold)*1.05</f>
        <v>0</v>
      </c>
      <c r="D6">
        <f>'DF Auto Liability'!C6*'DF Auto Liability'!D7</f>
        <v>0</v>
      </c>
      <c r="E6">
        <f>'DF Auto Liability'!D6*TailFactor</f>
        <v>0</v>
      </c>
    </row>
    <row r="7">
      <c r="A7" t="str">
        <v>6-7</v>
      </c>
      <c r="B7">
        <f>'Tri Auto Liability'!H2/'Tri Auto Liability'!G2</f>
        <v>0</v>
      </c>
      <c r="C7">
        <f>'DF Auto Liability'!B7*CredThreshold+(1-CredThreshold)*1.05</f>
        <v>0</v>
      </c>
      <c r="D7">
        <f>'DF Auto Liability'!C7*'DF Auto Liability'!D8</f>
        <v>0</v>
      </c>
      <c r="E7">
        <f>'DF Auto Liability'!D7*TailFactor</f>
        <v>0</v>
      </c>
    </row>
    <row r="8">
      <c r="A8" t="str">
        <v>7-8</v>
      </c>
      <c r="B8">
        <f>'Tri Auto Liability'!I2/'Tri Auto Liability'!H2</f>
        <v>0</v>
      </c>
      <c r="C8">
        <f>'DF Auto Liability'!B8*CredThreshold+(1-CredThreshold)*1.05</f>
        <v>0</v>
      </c>
      <c r="D8">
        <f>'DF Auto Liability'!C8*'DF Auto Liability'!D9</f>
        <v>0</v>
      </c>
      <c r="E8">
        <f>'DF Auto Liability'!D8*TailFactor</f>
        <v>0</v>
      </c>
    </row>
    <row r="9">
      <c r="A9" t="str">
        <v>8-9</v>
      </c>
      <c r="B9">
        <f>'Tri Auto Liability'!J2/'Tri Auto Liability'!I2</f>
        <v>0</v>
      </c>
      <c r="C9">
        <f>'DF Auto Liability'!B9*CredThreshold+(1-CredThreshold)*1.05</f>
        <v>0</v>
      </c>
      <c r="D9">
        <f>'DF Auto Liability'!C9*'DF Auto Liability'!D10</f>
        <v>0</v>
      </c>
      <c r="E9">
        <f>'DF Auto Liability'!D9*TailFactor</f>
        <v>0</v>
      </c>
    </row>
    <row r="10">
      <c r="A10" t="str">
        <v>9-10</v>
      </c>
      <c r="B10">
        <f>'Tri Auto Liability'!K2/'Tri Auto Liability'!J2</f>
        <v>0</v>
      </c>
      <c r="C10">
        <f>'DF Auto Liability'!B10*CredThreshold+(1-CredThreshold)*1.05</f>
        <v>0</v>
      </c>
      <c r="D10">
        <f>'DF Auto Liability'!C10*TailFactor</f>
        <v>0</v>
      </c>
      <c r="E10">
        <f>'DF Auto Liability'!D10*TailFactor</f>
        <v>0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Auto Liability'!K2</f>
        <v>0</v>
      </c>
      <c r="C2">
        <f>TailFactor</f>
        <v>0</v>
      </c>
      <c r="D2">
        <f>'IBNR Auto Liability'!B2*'IBNR Auto Liability'!C2</f>
        <v>0</v>
      </c>
      <c r="E2">
        <f>'IBNR Auto Liability'!D2-'IBNR Auto Liability'!B2</f>
        <v>0</v>
      </c>
      <c r="F2">
        <f>'IBNR Auto Liability'!E2/(1+DiscountRate)^5</f>
        <v>0</v>
      </c>
      <c r="G2">
        <f>'IBNR Auto Liability'!B2*CaseAdequacy*0.1</f>
        <v>0</v>
      </c>
      <c r="H2">
        <f>'IBNR Auto Liability'!F2+'IBNR Auto Liability'!G2+'IBNR Auto Liability'!E2*ULAEFactor+'IBNR Auto Liability'!D2*BulkReservePct</f>
        <v>0</v>
      </c>
    </row>
    <row r="3">
      <c r="A3">
        <v>2017</v>
      </c>
      <c r="B3">
        <f>'Tri Auto Liability'!J3</f>
        <v>0</v>
      </c>
      <c r="C3">
        <f>'DF Auto Liability'!D10</f>
        <v>0</v>
      </c>
      <c r="D3">
        <f>'IBNR Auto Liability'!B3*'IBNR Auto Liability'!C3</f>
        <v>0</v>
      </c>
      <c r="E3">
        <f>'IBNR Auto Liability'!D3-'IBNR Auto Liability'!B3</f>
        <v>0</v>
      </c>
      <c r="F3">
        <f>'IBNR Auto Liability'!E3/(1+DiscountRate)^5</f>
        <v>0</v>
      </c>
      <c r="G3">
        <f>'IBNR Auto Liability'!B3*CaseAdequacy*0.1</f>
        <v>0</v>
      </c>
      <c r="H3">
        <f>'IBNR Auto Liability'!F3+'IBNR Auto Liability'!G3+'IBNR Auto Liability'!E3*ULAEFactor+'IBNR Auto Liability'!D3*BulkReservePct</f>
        <v>0</v>
      </c>
    </row>
    <row r="4">
      <c r="A4">
        <v>2018</v>
      </c>
      <c r="B4">
        <f>'Tri Auto Liability'!I4</f>
        <v>0</v>
      </c>
      <c r="C4">
        <f>'DF Auto Liability'!D9</f>
        <v>0</v>
      </c>
      <c r="D4">
        <f>'IBNR Auto Liability'!B4*'IBNR Auto Liability'!C4</f>
        <v>0</v>
      </c>
      <c r="E4">
        <f>'IBNR Auto Liability'!D4-'IBNR Auto Liability'!B4</f>
        <v>0</v>
      </c>
      <c r="F4">
        <f>'IBNR Auto Liability'!E4/(1+DiscountRate)^4</f>
        <v>0</v>
      </c>
      <c r="G4">
        <f>'IBNR Auto Liability'!B4*CaseAdequacy*0.1</f>
        <v>0</v>
      </c>
      <c r="H4">
        <f>'IBNR Auto Liability'!F4+'IBNR Auto Liability'!G4+'IBNR Auto Liability'!E4*ULAEFactor+'IBNR Auto Liability'!D4*BulkReservePct</f>
        <v>0</v>
      </c>
    </row>
    <row r="5">
      <c r="A5">
        <v>2019</v>
      </c>
      <c r="B5">
        <f>'Tri Auto Liability'!H5</f>
        <v>0</v>
      </c>
      <c r="C5">
        <f>'DF Auto Liability'!D8</f>
        <v>0</v>
      </c>
      <c r="D5">
        <f>'IBNR Auto Liability'!B5*'IBNR Auto Liability'!C5</f>
        <v>0</v>
      </c>
      <c r="E5">
        <f>'IBNR Auto Liability'!D5-'IBNR Auto Liability'!B5</f>
        <v>0</v>
      </c>
      <c r="F5">
        <f>'IBNR Auto Liability'!E5/(1+DiscountRate)^4</f>
        <v>0</v>
      </c>
      <c r="G5">
        <f>'IBNR Auto Liability'!B5*CaseAdequacy*0.1</f>
        <v>0</v>
      </c>
      <c r="H5">
        <f>'IBNR Auto Liability'!F5+'IBNR Auto Liability'!G5+'IBNR Auto Liability'!E5*ULAEFactor+'IBNR Auto Liability'!D5*BulkReservePct</f>
        <v>0</v>
      </c>
    </row>
    <row r="6">
      <c r="A6">
        <v>2020</v>
      </c>
      <c r="B6">
        <f>'Tri Auto Liability'!G6</f>
        <v>0</v>
      </c>
      <c r="C6">
        <f>'DF Auto Liability'!D7</f>
        <v>0</v>
      </c>
      <c r="D6">
        <f>'IBNR Auto Liability'!B6*'IBNR Auto Liability'!C6</f>
        <v>0</v>
      </c>
      <c r="E6">
        <f>'IBNR Auto Liability'!D6-'IBNR Auto Liability'!B6</f>
        <v>0</v>
      </c>
      <c r="F6">
        <f>'IBNR Auto Liability'!E6/(1+DiscountRate)^3</f>
        <v>0</v>
      </c>
      <c r="G6">
        <f>'IBNR Auto Liability'!B6*CaseAdequacy*0.1</f>
        <v>0</v>
      </c>
      <c r="H6">
        <f>'IBNR Auto Liability'!F6+'IBNR Auto Liability'!G6+'IBNR Auto Liability'!E6*ULAEFactor+'IBNR Auto Liability'!D6*BulkReservePct</f>
        <v>0</v>
      </c>
    </row>
    <row r="7">
      <c r="A7">
        <v>2021</v>
      </c>
      <c r="B7">
        <f>'Tri Auto Liability'!F7</f>
        <v>0</v>
      </c>
      <c r="C7">
        <f>'DF Auto Liability'!D6</f>
        <v>0</v>
      </c>
      <c r="D7">
        <f>'IBNR Auto Liability'!B7*'IBNR Auto Liability'!C7</f>
        <v>0</v>
      </c>
      <c r="E7">
        <f>'IBNR Auto Liability'!D7-'IBNR Auto Liability'!B7</f>
        <v>0</v>
      </c>
      <c r="F7">
        <f>'IBNR Auto Liability'!E7/(1+DiscountRate)^3</f>
        <v>0</v>
      </c>
      <c r="G7">
        <f>'IBNR Auto Liability'!B7*CaseAdequacy*0.1</f>
        <v>0</v>
      </c>
      <c r="H7">
        <f>'IBNR Auto Liability'!F7+'IBNR Auto Liability'!G7+'IBNR Auto Liability'!E7*ULAEFactor+'IBNR Auto Liability'!D7*BulkReservePct</f>
        <v>0</v>
      </c>
    </row>
    <row r="8">
      <c r="A8">
        <v>2022</v>
      </c>
      <c r="B8">
        <f>'Tri Auto Liability'!E8</f>
        <v>0</v>
      </c>
      <c r="C8">
        <f>'DF Auto Liability'!D5</f>
        <v>0</v>
      </c>
      <c r="D8">
        <f>'IBNR Auto Liability'!B8*'IBNR Auto Liability'!C8</f>
        <v>0</v>
      </c>
      <c r="E8">
        <f>'IBNR Auto Liability'!D8-'IBNR Auto Liability'!B8</f>
        <v>0</v>
      </c>
      <c r="F8">
        <f>'IBNR Auto Liability'!E8/(1+DiscountRate)^2</f>
        <v>0</v>
      </c>
      <c r="G8">
        <f>'IBNR Auto Liability'!B8*CaseAdequacy*0.1</f>
        <v>0</v>
      </c>
      <c r="H8">
        <f>'IBNR Auto Liability'!F8+'IBNR Auto Liability'!G8+'IBNR Auto Liability'!E8*ULAEFactor+'IBNR Auto Liability'!D8*BulkReservePct</f>
        <v>0</v>
      </c>
    </row>
    <row r="9">
      <c r="A9">
        <v>2023</v>
      </c>
      <c r="B9">
        <f>'Tri Auto Liability'!D9</f>
        <v>0</v>
      </c>
      <c r="C9">
        <f>'DF Auto Liability'!D4</f>
        <v>0</v>
      </c>
      <c r="D9">
        <f>'IBNR Auto Liability'!B9*'IBNR Auto Liability'!C9</f>
        <v>0</v>
      </c>
      <c r="E9">
        <f>'IBNR Auto Liability'!D9-'IBNR Auto Liability'!B9</f>
        <v>0</v>
      </c>
      <c r="F9">
        <f>'IBNR Auto Liability'!E9/(1+DiscountRate)^2</f>
        <v>0</v>
      </c>
      <c r="G9">
        <f>'IBNR Auto Liability'!B9*CaseAdequacy*0.1</f>
        <v>0</v>
      </c>
      <c r="H9">
        <f>'IBNR Auto Liability'!F9+'IBNR Auto Liability'!G9+'IBNR Auto Liability'!E9*ULAEFactor+'IBNR Auto Liability'!D9*BulkReservePct</f>
        <v>0</v>
      </c>
    </row>
    <row r="10">
      <c r="A10">
        <v>2024</v>
      </c>
      <c r="B10">
        <f>'Tri Auto Liability'!C10</f>
        <v>0</v>
      </c>
      <c r="C10">
        <f>'DF Auto Liability'!D3</f>
        <v>0</v>
      </c>
      <c r="D10">
        <f>'IBNR Auto Liability'!B10*'IBNR Auto Liability'!C10</f>
        <v>0</v>
      </c>
      <c r="E10">
        <f>'IBNR Auto Liability'!D10-'IBNR Auto Liability'!B10</f>
        <v>0</v>
      </c>
      <c r="F10">
        <f>'IBNR Auto Liability'!E10/(1+DiscountRate)^1</f>
        <v>0</v>
      </c>
      <c r="G10">
        <f>'IBNR Auto Liability'!B10*CaseAdequacy*0.1</f>
        <v>0</v>
      </c>
      <c r="H10">
        <f>'IBNR Auto Liability'!F10+'IBNR Auto Liability'!G10+'IBNR Auto Liability'!E10*ULAEFactor+'IBNR Auto Liability'!D10*BulkReservePct</f>
        <v>0</v>
      </c>
    </row>
    <row r="11">
      <c r="A11">
        <v>2025</v>
      </c>
      <c r="B11">
        <f>'Tri Auto Liability'!B11</f>
        <v>0</v>
      </c>
      <c r="C11">
        <f>'DF Auto Liability'!D2</f>
        <v>0</v>
      </c>
      <c r="D11">
        <f>'IBNR Auto Liability'!B11*'IBNR Auto Liability'!C11</f>
        <v>0</v>
      </c>
      <c r="E11">
        <f>'IBNR Auto Liability'!D11-'IBNR Auto Liability'!B11</f>
        <v>0</v>
      </c>
      <c r="F11">
        <f>'IBNR Auto Liability'!E11/(1+DiscountRate)^1</f>
        <v>0</v>
      </c>
      <c r="G11">
        <f>'IBNR Auto Liability'!B11*CaseAdequacy*0.1</f>
        <v>0</v>
      </c>
      <c r="H11">
        <f>'IBNR Auto Liability'!F11+'IBNR Auto Liability'!G11+'IBNR Auto Liability'!E11*ULAEFactor+'IBNR Auto Liability'!D11*BulkReservePct</f>
        <v>0</v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149760</v>
      </c>
      <c r="C2">
        <v>177697</v>
      </c>
      <c r="D2">
        <v>177542</v>
      </c>
      <c r="E2">
        <v>203838</v>
      </c>
      <c r="F2">
        <v>222690</v>
      </c>
      <c r="G2">
        <v>240462</v>
      </c>
      <c r="H2">
        <v>265234</v>
      </c>
      <c r="I2">
        <v>327747</v>
      </c>
      <c r="J2">
        <v>320744</v>
      </c>
      <c r="K2">
        <v>361214</v>
      </c>
    </row>
    <row r="3">
      <c r="A3">
        <v>2017</v>
      </c>
      <c r="B3">
        <v>170198</v>
      </c>
      <c r="C3">
        <v>168253</v>
      </c>
      <c r="D3">
        <v>192709</v>
      </c>
      <c r="E3">
        <v>217877</v>
      </c>
      <c r="F3">
        <v>279046</v>
      </c>
      <c r="G3">
        <v>286557</v>
      </c>
      <c r="H3">
        <v>288838</v>
      </c>
      <c r="I3">
        <v>328722</v>
      </c>
      <c r="J3">
        <v>353753</v>
      </c>
    </row>
    <row r="4">
      <c r="A4">
        <v>2018</v>
      </c>
      <c r="B4">
        <v>157698</v>
      </c>
      <c r="C4">
        <v>192733</v>
      </c>
      <c r="D4">
        <v>210685</v>
      </c>
      <c r="E4">
        <v>262868</v>
      </c>
      <c r="F4">
        <v>256576</v>
      </c>
      <c r="G4">
        <v>300068</v>
      </c>
      <c r="H4">
        <v>341357</v>
      </c>
      <c r="I4">
        <v>365234</v>
      </c>
    </row>
    <row r="5">
      <c r="A5">
        <v>2019</v>
      </c>
      <c r="B5">
        <v>177381</v>
      </c>
      <c r="C5">
        <v>214527</v>
      </c>
      <c r="D5">
        <v>245314</v>
      </c>
      <c r="E5">
        <v>277731</v>
      </c>
      <c r="F5">
        <v>259429</v>
      </c>
      <c r="G5">
        <v>296178</v>
      </c>
      <c r="H5">
        <v>321564</v>
      </c>
    </row>
    <row r="6">
      <c r="A6">
        <v>2020</v>
      </c>
      <c r="B6">
        <v>194755</v>
      </c>
      <c r="C6">
        <v>220737</v>
      </c>
      <c r="D6">
        <v>265764</v>
      </c>
      <c r="E6">
        <v>276667</v>
      </c>
      <c r="F6">
        <v>314779</v>
      </c>
      <c r="G6">
        <v>306864</v>
      </c>
    </row>
    <row r="7">
      <c r="A7">
        <v>2021</v>
      </c>
      <c r="B7">
        <v>192990</v>
      </c>
      <c r="C7">
        <v>219285</v>
      </c>
      <c r="D7">
        <v>264658</v>
      </c>
      <c r="E7">
        <v>291511</v>
      </c>
      <c r="F7">
        <v>351778</v>
      </c>
    </row>
    <row r="8">
      <c r="A8">
        <v>2022</v>
      </c>
      <c r="B8">
        <v>206316</v>
      </c>
      <c r="C8">
        <v>252114</v>
      </c>
      <c r="D8">
        <v>293708</v>
      </c>
      <c r="E8">
        <v>286901</v>
      </c>
    </row>
    <row r="9">
      <c r="A9">
        <v>2023</v>
      </c>
      <c r="B9">
        <v>199000</v>
      </c>
      <c r="C9">
        <v>274726</v>
      </c>
      <c r="D9">
        <v>273775</v>
      </c>
    </row>
    <row r="10">
      <c r="A10">
        <v>2024</v>
      </c>
      <c r="B10">
        <v>232333</v>
      </c>
      <c r="C10">
        <v>287489</v>
      </c>
    </row>
    <row r="11">
      <c r="A11">
        <v>2025</v>
      </c>
      <c r="B11">
        <v>230965</v>
      </c>
    </row>
  </sheetData>
  <ignoredErrors>
    <ignoredError numberStoredAsText="1" sqref="A1:K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Auto Physical'!C2/'Tri Auto Physical'!B2</f>
        <v>0</v>
      </c>
      <c r="C2">
        <f>'DF Auto Physical'!B2*CredThreshold+(1-CredThreshold)*1.05</f>
        <v>0</v>
      </c>
      <c r="D2">
        <f>'DF Auto Physical'!C2*'DF Auto Physical'!D3</f>
        <v>0</v>
      </c>
      <c r="E2">
        <f>'DF Auto Physical'!D2*TailFactor</f>
        <v>0</v>
      </c>
    </row>
    <row r="3">
      <c r="A3" t="str">
        <v>2-3</v>
      </c>
      <c r="B3">
        <f>'Tri Auto Physical'!D2/'Tri Auto Physical'!C2</f>
        <v>0</v>
      </c>
      <c r="C3">
        <f>'DF Auto Physical'!B3*CredThreshold+(1-CredThreshold)*1.05</f>
        <v>0</v>
      </c>
      <c r="D3">
        <f>'DF Auto Physical'!C3*'DF Auto Physical'!D4</f>
        <v>0</v>
      </c>
      <c r="E3">
        <f>'DF Auto Physical'!D3*TailFactor</f>
        <v>0</v>
      </c>
    </row>
    <row r="4">
      <c r="A4" t="str">
        <v>3-4</v>
      </c>
      <c r="B4">
        <f>'Tri Auto Physical'!E2/'Tri Auto Physical'!D2</f>
        <v>0</v>
      </c>
      <c r="C4">
        <f>'DF Auto Physical'!B4*CredThreshold+(1-CredThreshold)*1.05</f>
        <v>0</v>
      </c>
      <c r="D4">
        <f>'DF Auto Physical'!C4*'DF Auto Physical'!D5</f>
        <v>0</v>
      </c>
      <c r="E4">
        <f>'DF Auto Physical'!D4*TailFactor</f>
        <v>0</v>
      </c>
    </row>
    <row r="5">
      <c r="A5" t="str">
        <v>4-5</v>
      </c>
      <c r="B5">
        <f>'Tri Auto Physical'!F2/'Tri Auto Physical'!E2</f>
        <v>0</v>
      </c>
      <c r="C5">
        <f>'DF Auto Physical'!B5*CredThreshold+(1-CredThreshold)*1.05</f>
        <v>0</v>
      </c>
      <c r="D5">
        <f>'DF Auto Physical'!C5*'DF Auto Physical'!D6</f>
        <v>0</v>
      </c>
      <c r="E5">
        <f>'DF Auto Physical'!D5*TailFactor</f>
        <v>0</v>
      </c>
    </row>
    <row r="6">
      <c r="A6" t="str">
        <v>5-6</v>
      </c>
      <c r="B6">
        <f>'Tri Auto Physical'!G2/'Tri Auto Physical'!F2</f>
        <v>0</v>
      </c>
      <c r="C6">
        <f>'DF Auto Physical'!B6*CredThreshold+(1-CredThreshold)*1.05</f>
        <v>0</v>
      </c>
      <c r="D6">
        <f>'DF Auto Physical'!C6*'DF Auto Physical'!D7</f>
        <v>0</v>
      </c>
      <c r="E6">
        <f>'DF Auto Physical'!D6*TailFactor</f>
        <v>0</v>
      </c>
    </row>
    <row r="7">
      <c r="A7" t="str">
        <v>6-7</v>
      </c>
      <c r="B7">
        <f>'Tri Auto Physical'!H2/'Tri Auto Physical'!G2</f>
        <v>0</v>
      </c>
      <c r="C7">
        <f>'DF Auto Physical'!B7*CredThreshold+(1-CredThreshold)*1.05</f>
        <v>0</v>
      </c>
      <c r="D7">
        <f>'DF Auto Physical'!C7*'DF Auto Physical'!D8</f>
        <v>0</v>
      </c>
      <c r="E7">
        <f>'DF Auto Physical'!D7*TailFactor</f>
        <v>0</v>
      </c>
    </row>
    <row r="8">
      <c r="A8" t="str">
        <v>7-8</v>
      </c>
      <c r="B8">
        <f>'Tri Auto Physical'!I2/'Tri Auto Physical'!H2</f>
        <v>0</v>
      </c>
      <c r="C8">
        <f>'DF Auto Physical'!B8*CredThreshold+(1-CredThreshold)*1.05</f>
        <v>0</v>
      </c>
      <c r="D8">
        <f>'DF Auto Physical'!C8*'DF Auto Physical'!D9</f>
        <v>0</v>
      </c>
      <c r="E8">
        <f>'DF Auto Physical'!D8*TailFactor</f>
        <v>0</v>
      </c>
    </row>
    <row r="9">
      <c r="A9" t="str">
        <v>8-9</v>
      </c>
      <c r="B9">
        <f>'Tri Auto Physical'!J2/'Tri Auto Physical'!I2</f>
        <v>0</v>
      </c>
      <c r="C9">
        <f>'DF Auto Physical'!B9*CredThreshold+(1-CredThreshold)*1.05</f>
        <v>0</v>
      </c>
      <c r="D9">
        <f>'DF Auto Physical'!C9*'DF Auto Physical'!D10</f>
        <v>0</v>
      </c>
      <c r="E9">
        <f>'DF Auto Physical'!D9*TailFactor</f>
        <v>0</v>
      </c>
    </row>
    <row r="10">
      <c r="A10" t="str">
        <v>9-10</v>
      </c>
      <c r="B10">
        <f>'Tri Auto Physical'!K2/'Tri Auto Physical'!J2</f>
        <v>0</v>
      </c>
      <c r="C10">
        <f>'DF Auto Physical'!B10*CredThreshold+(1-CredThreshold)*1.05</f>
        <v>0</v>
      </c>
      <c r="D10">
        <f>'DF Auto Physical'!C10*TailFactor</f>
        <v>0</v>
      </c>
      <c r="E10">
        <f>'DF Auto Physical'!D10*TailFactor</f>
        <v>0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Auto Physical'!K2</f>
        <v>0</v>
      </c>
      <c r="C2">
        <f>TailFactor</f>
        <v>0</v>
      </c>
      <c r="D2">
        <f>'IBNR Auto Physical'!B2*'IBNR Auto Physical'!C2</f>
        <v>0</v>
      </c>
      <c r="E2">
        <f>'IBNR Auto Physical'!D2-'IBNR Auto Physical'!B2</f>
        <v>0</v>
      </c>
      <c r="F2">
        <f>'IBNR Auto Physical'!E2/(1+DiscountRate)^5</f>
        <v>0</v>
      </c>
      <c r="G2">
        <f>'IBNR Auto Physical'!B2*CaseAdequacy*0.1</f>
        <v>0</v>
      </c>
      <c r="H2">
        <f>'IBNR Auto Physical'!F2+'IBNR Auto Physical'!G2+'IBNR Auto Physical'!E2*ULAEFactor+'IBNR Auto Physical'!D2*BulkReservePct</f>
        <v>0</v>
      </c>
    </row>
    <row r="3">
      <c r="A3">
        <v>2017</v>
      </c>
      <c r="B3">
        <f>'Tri Auto Physical'!J3</f>
        <v>0</v>
      </c>
      <c r="C3">
        <f>'DF Auto Physical'!D10</f>
        <v>0</v>
      </c>
      <c r="D3">
        <f>'IBNR Auto Physical'!B3*'IBNR Auto Physical'!C3</f>
        <v>0</v>
      </c>
      <c r="E3">
        <f>'IBNR Auto Physical'!D3-'IBNR Auto Physical'!B3</f>
        <v>0</v>
      </c>
      <c r="F3">
        <f>'IBNR Auto Physical'!E3/(1+DiscountRate)^5</f>
        <v>0</v>
      </c>
      <c r="G3">
        <f>'IBNR Auto Physical'!B3*CaseAdequacy*0.1</f>
        <v>0</v>
      </c>
      <c r="H3">
        <f>'IBNR Auto Physical'!F3+'IBNR Auto Physical'!G3+'IBNR Auto Physical'!E3*ULAEFactor+'IBNR Auto Physical'!D3*BulkReservePct</f>
        <v>0</v>
      </c>
    </row>
    <row r="4">
      <c r="A4">
        <v>2018</v>
      </c>
      <c r="B4">
        <f>'Tri Auto Physical'!I4</f>
        <v>0</v>
      </c>
      <c r="C4">
        <f>'DF Auto Physical'!D9</f>
        <v>0</v>
      </c>
      <c r="D4">
        <f>'IBNR Auto Physical'!B4*'IBNR Auto Physical'!C4</f>
        <v>0</v>
      </c>
      <c r="E4">
        <f>'IBNR Auto Physical'!D4-'IBNR Auto Physical'!B4</f>
        <v>0</v>
      </c>
      <c r="F4">
        <f>'IBNR Auto Physical'!E4/(1+DiscountRate)^4</f>
        <v>0</v>
      </c>
      <c r="G4">
        <f>'IBNR Auto Physical'!B4*CaseAdequacy*0.1</f>
        <v>0</v>
      </c>
      <c r="H4">
        <f>'IBNR Auto Physical'!F4+'IBNR Auto Physical'!G4+'IBNR Auto Physical'!E4*ULAEFactor+'IBNR Auto Physical'!D4*BulkReservePct</f>
        <v>0</v>
      </c>
    </row>
    <row r="5">
      <c r="A5">
        <v>2019</v>
      </c>
      <c r="B5">
        <f>'Tri Auto Physical'!H5</f>
        <v>0</v>
      </c>
      <c r="C5">
        <f>'DF Auto Physical'!D8</f>
        <v>0</v>
      </c>
      <c r="D5">
        <f>'IBNR Auto Physical'!B5*'IBNR Auto Physical'!C5</f>
        <v>0</v>
      </c>
      <c r="E5">
        <f>'IBNR Auto Physical'!D5-'IBNR Auto Physical'!B5</f>
        <v>0</v>
      </c>
      <c r="F5">
        <f>'IBNR Auto Physical'!E5/(1+DiscountRate)^4</f>
        <v>0</v>
      </c>
      <c r="G5">
        <f>'IBNR Auto Physical'!B5*CaseAdequacy*0.1</f>
        <v>0</v>
      </c>
      <c r="H5">
        <f>'IBNR Auto Physical'!F5+'IBNR Auto Physical'!G5+'IBNR Auto Physical'!E5*ULAEFactor+'IBNR Auto Physical'!D5*BulkReservePct</f>
        <v>0</v>
      </c>
    </row>
    <row r="6">
      <c r="A6">
        <v>2020</v>
      </c>
      <c r="B6">
        <f>'Tri Auto Physical'!G6</f>
        <v>0</v>
      </c>
      <c r="C6">
        <f>'DF Auto Physical'!D7</f>
        <v>0</v>
      </c>
      <c r="D6">
        <f>'IBNR Auto Physical'!B6*'IBNR Auto Physical'!C6</f>
        <v>0</v>
      </c>
      <c r="E6">
        <f>'IBNR Auto Physical'!D6-'IBNR Auto Physical'!B6</f>
        <v>0</v>
      </c>
      <c r="F6">
        <f>'IBNR Auto Physical'!E6/(1+DiscountRate)^3</f>
        <v>0</v>
      </c>
      <c r="G6">
        <f>'IBNR Auto Physical'!B6*CaseAdequacy*0.1</f>
        <v>0</v>
      </c>
      <c r="H6">
        <f>'IBNR Auto Physical'!F6+'IBNR Auto Physical'!G6+'IBNR Auto Physical'!E6*ULAEFactor+'IBNR Auto Physical'!D6*BulkReservePct</f>
        <v>0</v>
      </c>
    </row>
    <row r="7">
      <c r="A7">
        <v>2021</v>
      </c>
      <c r="B7">
        <f>'Tri Auto Physical'!F7</f>
        <v>0</v>
      </c>
      <c r="C7">
        <f>'DF Auto Physical'!D6</f>
        <v>0</v>
      </c>
      <c r="D7">
        <f>'IBNR Auto Physical'!B7*'IBNR Auto Physical'!C7</f>
        <v>0</v>
      </c>
      <c r="E7">
        <f>'IBNR Auto Physical'!D7-'IBNR Auto Physical'!B7</f>
        <v>0</v>
      </c>
      <c r="F7">
        <f>'IBNR Auto Physical'!E7/(1+DiscountRate)^3</f>
        <v>0</v>
      </c>
      <c r="G7">
        <f>'IBNR Auto Physical'!B7*CaseAdequacy*0.1</f>
        <v>0</v>
      </c>
      <c r="H7">
        <f>'IBNR Auto Physical'!F7+'IBNR Auto Physical'!G7+'IBNR Auto Physical'!E7*ULAEFactor+'IBNR Auto Physical'!D7*BulkReservePct</f>
        <v>0</v>
      </c>
    </row>
    <row r="8">
      <c r="A8">
        <v>2022</v>
      </c>
      <c r="B8">
        <f>'Tri Auto Physical'!E8</f>
        <v>0</v>
      </c>
      <c r="C8">
        <f>'DF Auto Physical'!D5</f>
        <v>0</v>
      </c>
      <c r="D8">
        <f>'IBNR Auto Physical'!B8*'IBNR Auto Physical'!C8</f>
        <v>0</v>
      </c>
      <c r="E8">
        <f>'IBNR Auto Physical'!D8-'IBNR Auto Physical'!B8</f>
        <v>0</v>
      </c>
      <c r="F8">
        <f>'IBNR Auto Physical'!E8/(1+DiscountRate)^2</f>
        <v>0</v>
      </c>
      <c r="G8">
        <f>'IBNR Auto Physical'!B8*CaseAdequacy*0.1</f>
        <v>0</v>
      </c>
      <c r="H8">
        <f>'IBNR Auto Physical'!F8+'IBNR Auto Physical'!G8+'IBNR Auto Physical'!E8*ULAEFactor+'IBNR Auto Physical'!D8*BulkReservePct</f>
        <v>0</v>
      </c>
    </row>
    <row r="9">
      <c r="A9">
        <v>2023</v>
      </c>
      <c r="B9">
        <f>'Tri Auto Physical'!D9</f>
        <v>0</v>
      </c>
      <c r="C9">
        <f>'DF Auto Physical'!D4</f>
        <v>0</v>
      </c>
      <c r="D9">
        <f>'IBNR Auto Physical'!B9*'IBNR Auto Physical'!C9</f>
        <v>0</v>
      </c>
      <c r="E9">
        <f>'IBNR Auto Physical'!D9-'IBNR Auto Physical'!B9</f>
        <v>0</v>
      </c>
      <c r="F9">
        <f>'IBNR Auto Physical'!E9/(1+DiscountRate)^2</f>
        <v>0</v>
      </c>
      <c r="G9">
        <f>'IBNR Auto Physical'!B9*CaseAdequacy*0.1</f>
        <v>0</v>
      </c>
      <c r="H9">
        <f>'IBNR Auto Physical'!F9+'IBNR Auto Physical'!G9+'IBNR Auto Physical'!E9*ULAEFactor+'IBNR Auto Physical'!D9*BulkReservePct</f>
        <v>0</v>
      </c>
    </row>
    <row r="10">
      <c r="A10">
        <v>2024</v>
      </c>
      <c r="B10">
        <f>'Tri Auto Physical'!C10</f>
        <v>0</v>
      </c>
      <c r="C10">
        <f>'DF Auto Physical'!D3</f>
        <v>0</v>
      </c>
      <c r="D10">
        <f>'IBNR Auto Physical'!B10*'IBNR Auto Physical'!C10</f>
        <v>0</v>
      </c>
      <c r="E10">
        <f>'IBNR Auto Physical'!D10-'IBNR Auto Physical'!B10</f>
        <v>0</v>
      </c>
      <c r="F10">
        <f>'IBNR Auto Physical'!E10/(1+DiscountRate)^1</f>
        <v>0</v>
      </c>
      <c r="G10">
        <f>'IBNR Auto Physical'!B10*CaseAdequacy*0.1</f>
        <v>0</v>
      </c>
      <c r="H10">
        <f>'IBNR Auto Physical'!F10+'IBNR Auto Physical'!G10+'IBNR Auto Physical'!E10*ULAEFactor+'IBNR Auto Physical'!D10*BulkReservePct</f>
        <v>0</v>
      </c>
    </row>
    <row r="11">
      <c r="A11">
        <v>2025</v>
      </c>
      <c r="B11">
        <f>'Tri Auto Physical'!B11</f>
        <v>0</v>
      </c>
      <c r="C11">
        <f>'DF Auto Physical'!D2</f>
        <v>0</v>
      </c>
      <c r="D11">
        <f>'IBNR Auto Physical'!B11*'IBNR Auto Physical'!C11</f>
        <v>0</v>
      </c>
      <c r="E11">
        <f>'IBNR Auto Physical'!D11-'IBNR Auto Physical'!B11</f>
        <v>0</v>
      </c>
      <c r="F11">
        <f>'IBNR Auto Physical'!E11/(1+DiscountRate)^1</f>
        <v>0</v>
      </c>
      <c r="G11">
        <f>'IBNR Auto Physical'!B11*CaseAdequacy*0.1</f>
        <v>0</v>
      </c>
      <c r="H11">
        <f>'IBNR Auto Physical'!F11+'IBNR Auto Physical'!G11+'IBNR Auto Physical'!E11*ULAEFactor+'IBNR Auto Physical'!D11*BulkReservePct</f>
        <v>0</v>
      </c>
    </row>
  </sheetData>
  <ignoredErrors>
    <ignoredError numberStoredAsText="1" sqref="A1:H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187426</v>
      </c>
      <c r="C2">
        <v>225540</v>
      </c>
      <c r="D2">
        <v>283042</v>
      </c>
      <c r="E2">
        <v>306888</v>
      </c>
      <c r="F2">
        <v>325285</v>
      </c>
      <c r="G2">
        <v>380103</v>
      </c>
      <c r="H2">
        <v>396255</v>
      </c>
      <c r="I2">
        <v>379005</v>
      </c>
      <c r="J2">
        <v>416591</v>
      </c>
      <c r="K2">
        <v>474549</v>
      </c>
    </row>
    <row r="3">
      <c r="A3">
        <v>2017</v>
      </c>
      <c r="B3">
        <v>215040</v>
      </c>
      <c r="C3">
        <v>247290</v>
      </c>
      <c r="D3">
        <v>278088</v>
      </c>
      <c r="E3">
        <v>289996</v>
      </c>
      <c r="F3">
        <v>302816</v>
      </c>
      <c r="G3">
        <v>360992</v>
      </c>
      <c r="H3">
        <v>415120</v>
      </c>
      <c r="I3">
        <v>412240</v>
      </c>
      <c r="J3">
        <v>444248</v>
      </c>
    </row>
    <row r="4">
      <c r="A4">
        <v>2018</v>
      </c>
      <c r="B4">
        <v>222845</v>
      </c>
      <c r="C4">
        <v>254999</v>
      </c>
      <c r="D4">
        <v>310085</v>
      </c>
      <c r="E4">
        <v>341129</v>
      </c>
      <c r="F4">
        <v>357533</v>
      </c>
      <c r="G4">
        <v>395828</v>
      </c>
      <c r="H4">
        <v>445319</v>
      </c>
      <c r="I4">
        <v>453575</v>
      </c>
    </row>
    <row r="5">
      <c r="A5">
        <v>2019</v>
      </c>
      <c r="B5">
        <v>241800</v>
      </c>
      <c r="C5">
        <v>261673</v>
      </c>
      <c r="D5">
        <v>278280</v>
      </c>
      <c r="E5">
        <v>325861</v>
      </c>
      <c r="F5">
        <v>333277</v>
      </c>
      <c r="G5">
        <v>383771</v>
      </c>
      <c r="H5">
        <v>395344</v>
      </c>
    </row>
    <row r="6">
      <c r="A6">
        <v>2020</v>
      </c>
      <c r="B6">
        <v>245476</v>
      </c>
      <c r="C6">
        <v>293633</v>
      </c>
      <c r="D6">
        <v>295645</v>
      </c>
      <c r="E6">
        <v>347883</v>
      </c>
      <c r="F6">
        <v>405495</v>
      </c>
      <c r="G6">
        <v>460705</v>
      </c>
    </row>
    <row r="7">
      <c r="A7">
        <v>2021</v>
      </c>
      <c r="B7">
        <v>243731</v>
      </c>
      <c r="C7">
        <v>311832</v>
      </c>
      <c r="D7">
        <v>311674</v>
      </c>
      <c r="E7">
        <v>342898</v>
      </c>
      <c r="F7">
        <v>366202</v>
      </c>
    </row>
    <row r="8">
      <c r="A8">
        <v>2022</v>
      </c>
      <c r="B8">
        <v>241417</v>
      </c>
      <c r="C8">
        <v>288825</v>
      </c>
      <c r="D8">
        <v>310662</v>
      </c>
      <c r="E8">
        <v>359104</v>
      </c>
    </row>
    <row r="9">
      <c r="A9">
        <v>2023</v>
      </c>
      <c r="B9">
        <v>287199</v>
      </c>
      <c r="C9">
        <v>330199</v>
      </c>
      <c r="D9">
        <v>326918</v>
      </c>
    </row>
    <row r="10">
      <c r="A10">
        <v>2024</v>
      </c>
      <c r="B10">
        <v>295536</v>
      </c>
      <c r="C10">
        <v>349326</v>
      </c>
    </row>
    <row r="11">
      <c r="A11">
        <v>2025</v>
      </c>
      <c r="B11">
        <v>301703</v>
      </c>
    </row>
  </sheetData>
  <ignoredErrors>
    <ignoredError numberStoredAsText="1" sqref="A1:K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General Liability'!C2/'Tri General Liability'!B2</f>
        <v>0</v>
      </c>
      <c r="C2">
        <f>'DF General Liability'!B2*CredThreshold+(1-CredThreshold)*1.05</f>
        <v>0</v>
      </c>
      <c r="D2">
        <f>'DF General Liability'!C2*'DF General Liability'!D3</f>
        <v>0</v>
      </c>
      <c r="E2">
        <f>'DF General Liability'!D2*TailFactor</f>
        <v>0</v>
      </c>
    </row>
    <row r="3">
      <c r="A3" t="str">
        <v>2-3</v>
      </c>
      <c r="B3">
        <f>'Tri General Liability'!D2/'Tri General Liability'!C2</f>
        <v>0</v>
      </c>
      <c r="C3">
        <f>'DF General Liability'!B3*CredThreshold+(1-CredThreshold)*1.05</f>
        <v>0</v>
      </c>
      <c r="D3">
        <f>'DF General Liability'!C3*'DF General Liability'!D4</f>
        <v>0</v>
      </c>
      <c r="E3">
        <f>'DF General Liability'!D3*TailFactor</f>
        <v>0</v>
      </c>
    </row>
    <row r="4">
      <c r="A4" t="str">
        <v>3-4</v>
      </c>
      <c r="B4">
        <f>'Tri General Liability'!E2/'Tri General Liability'!D2</f>
        <v>0</v>
      </c>
      <c r="C4">
        <f>'DF General Liability'!B4*CredThreshold+(1-CredThreshold)*1.05</f>
        <v>0</v>
      </c>
      <c r="D4">
        <f>'DF General Liability'!C4*'DF General Liability'!D5</f>
        <v>0</v>
      </c>
      <c r="E4">
        <f>'DF General Liability'!D4*TailFactor</f>
        <v>0</v>
      </c>
    </row>
    <row r="5">
      <c r="A5" t="str">
        <v>4-5</v>
      </c>
      <c r="B5">
        <f>'Tri General Liability'!F2/'Tri General Liability'!E2</f>
        <v>0</v>
      </c>
      <c r="C5">
        <f>'DF General Liability'!B5*CredThreshold+(1-CredThreshold)*1.05</f>
        <v>0</v>
      </c>
      <c r="D5">
        <f>'DF General Liability'!C5*'DF General Liability'!D6</f>
        <v>0</v>
      </c>
      <c r="E5">
        <f>'DF General Liability'!D5*TailFactor</f>
        <v>0</v>
      </c>
    </row>
    <row r="6">
      <c r="A6" t="str">
        <v>5-6</v>
      </c>
      <c r="B6">
        <f>'Tri General Liability'!G2/'Tri General Liability'!F2</f>
        <v>0</v>
      </c>
      <c r="C6">
        <f>'DF General Liability'!B6*CredThreshold+(1-CredThreshold)*1.05</f>
        <v>0</v>
      </c>
      <c r="D6">
        <f>'DF General Liability'!C6*'DF General Liability'!D7</f>
        <v>0</v>
      </c>
      <c r="E6">
        <f>'DF General Liability'!D6*TailFactor</f>
        <v>0</v>
      </c>
    </row>
    <row r="7">
      <c r="A7" t="str">
        <v>6-7</v>
      </c>
      <c r="B7">
        <f>'Tri General Liability'!H2/'Tri General Liability'!G2</f>
        <v>0</v>
      </c>
      <c r="C7">
        <f>'DF General Liability'!B7*CredThreshold+(1-CredThreshold)*1.05</f>
        <v>0</v>
      </c>
      <c r="D7">
        <f>'DF General Liability'!C7*'DF General Liability'!D8</f>
        <v>0</v>
      </c>
      <c r="E7">
        <f>'DF General Liability'!D7*TailFactor</f>
        <v>0</v>
      </c>
    </row>
    <row r="8">
      <c r="A8" t="str">
        <v>7-8</v>
      </c>
      <c r="B8">
        <f>'Tri General Liability'!I2/'Tri General Liability'!H2</f>
        <v>0</v>
      </c>
      <c r="C8">
        <f>'DF General Liability'!B8*CredThreshold+(1-CredThreshold)*1.05</f>
        <v>0</v>
      </c>
      <c r="D8">
        <f>'DF General Liability'!C8*'DF General Liability'!D9</f>
        <v>0</v>
      </c>
      <c r="E8">
        <f>'DF General Liability'!D8*TailFactor</f>
        <v>0</v>
      </c>
    </row>
    <row r="9">
      <c r="A9" t="str">
        <v>8-9</v>
      </c>
      <c r="B9">
        <f>'Tri General Liability'!J2/'Tri General Liability'!I2</f>
        <v>0</v>
      </c>
      <c r="C9">
        <f>'DF General Liability'!B9*CredThreshold+(1-CredThreshold)*1.05</f>
        <v>0</v>
      </c>
      <c r="D9">
        <f>'DF General Liability'!C9*'DF General Liability'!D10</f>
        <v>0</v>
      </c>
      <c r="E9">
        <f>'DF General Liability'!D9*TailFactor</f>
        <v>0</v>
      </c>
    </row>
    <row r="10">
      <c r="A10" t="str">
        <v>9-10</v>
      </c>
      <c r="B10">
        <f>'Tri General Liability'!K2/'Tri General Liability'!J2</f>
        <v>0</v>
      </c>
      <c r="C10">
        <f>'DF General Liability'!B10*CredThreshold+(1-CredThreshold)*1.05</f>
        <v>0</v>
      </c>
      <c r="D10">
        <f>'DF General Liability'!C10*TailFactor</f>
        <v>0</v>
      </c>
      <c r="E10">
        <f>'DF General Liability'!D10*TailFactor</f>
        <v>0</v>
      </c>
    </row>
  </sheetData>
  <ignoredErrors>
    <ignoredError numberStoredAsText="1" sqref="A1:E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General Liability'!K2</f>
        <v>0</v>
      </c>
      <c r="C2">
        <f>TailFactor</f>
        <v>0</v>
      </c>
      <c r="D2">
        <f>'IBNR General Liability'!B2*'IBNR General Liability'!C2</f>
        <v>0</v>
      </c>
      <c r="E2">
        <f>'IBNR General Liability'!D2-'IBNR General Liability'!B2</f>
        <v>0</v>
      </c>
      <c r="F2">
        <f>'IBNR General Liability'!E2/(1+DiscountRate)^5</f>
        <v>0</v>
      </c>
      <c r="G2">
        <f>'IBNR General Liability'!B2*CaseAdequacy*0.1</f>
        <v>0</v>
      </c>
      <c r="H2">
        <f>'IBNR General Liability'!F2+'IBNR General Liability'!G2+'IBNR General Liability'!E2*ULAEFactor+'IBNR General Liability'!D2*BulkReservePct</f>
        <v>0</v>
      </c>
    </row>
    <row r="3">
      <c r="A3">
        <v>2017</v>
      </c>
      <c r="B3">
        <f>'Tri General Liability'!J3</f>
        <v>0</v>
      </c>
      <c r="C3">
        <f>'DF General Liability'!D10</f>
        <v>0</v>
      </c>
      <c r="D3">
        <f>'IBNR General Liability'!B3*'IBNR General Liability'!C3</f>
        <v>0</v>
      </c>
      <c r="E3">
        <f>'IBNR General Liability'!D3-'IBNR General Liability'!B3</f>
        <v>0</v>
      </c>
      <c r="F3">
        <f>'IBNR General Liability'!E3/(1+DiscountRate)^5</f>
        <v>0</v>
      </c>
      <c r="G3">
        <f>'IBNR General Liability'!B3*CaseAdequacy*0.1</f>
        <v>0</v>
      </c>
      <c r="H3">
        <f>'IBNR General Liability'!F3+'IBNR General Liability'!G3+'IBNR General Liability'!E3*ULAEFactor+'IBNR General Liability'!D3*BulkReservePct</f>
        <v>0</v>
      </c>
    </row>
    <row r="4">
      <c r="A4">
        <v>2018</v>
      </c>
      <c r="B4">
        <f>'Tri General Liability'!I4</f>
        <v>0</v>
      </c>
      <c r="C4">
        <f>'DF General Liability'!D9</f>
        <v>0</v>
      </c>
      <c r="D4">
        <f>'IBNR General Liability'!B4*'IBNR General Liability'!C4</f>
        <v>0</v>
      </c>
      <c r="E4">
        <f>'IBNR General Liability'!D4-'IBNR General Liability'!B4</f>
        <v>0</v>
      </c>
      <c r="F4">
        <f>'IBNR General Liability'!E4/(1+DiscountRate)^4</f>
        <v>0</v>
      </c>
      <c r="G4">
        <f>'IBNR General Liability'!B4*CaseAdequacy*0.1</f>
        <v>0</v>
      </c>
      <c r="H4">
        <f>'IBNR General Liability'!F4+'IBNR General Liability'!G4+'IBNR General Liability'!E4*ULAEFactor+'IBNR General Liability'!D4*BulkReservePct</f>
        <v>0</v>
      </c>
    </row>
    <row r="5">
      <c r="A5">
        <v>2019</v>
      </c>
      <c r="B5">
        <f>'Tri General Liability'!H5</f>
        <v>0</v>
      </c>
      <c r="C5">
        <f>'DF General Liability'!D8</f>
        <v>0</v>
      </c>
      <c r="D5">
        <f>'IBNR General Liability'!B5*'IBNR General Liability'!C5</f>
        <v>0</v>
      </c>
      <c r="E5">
        <f>'IBNR General Liability'!D5-'IBNR General Liability'!B5</f>
        <v>0</v>
      </c>
      <c r="F5">
        <f>'IBNR General Liability'!E5/(1+DiscountRate)^4</f>
        <v>0</v>
      </c>
      <c r="G5">
        <f>'IBNR General Liability'!B5*CaseAdequacy*0.1</f>
        <v>0</v>
      </c>
      <c r="H5">
        <f>'IBNR General Liability'!F5+'IBNR General Liability'!G5+'IBNR General Liability'!E5*ULAEFactor+'IBNR General Liability'!D5*BulkReservePct</f>
        <v>0</v>
      </c>
    </row>
    <row r="6">
      <c r="A6">
        <v>2020</v>
      </c>
      <c r="B6">
        <f>'Tri General Liability'!G6</f>
        <v>0</v>
      </c>
      <c r="C6">
        <f>'DF General Liability'!D7</f>
        <v>0</v>
      </c>
      <c r="D6">
        <f>'IBNR General Liability'!B6*'IBNR General Liability'!C6</f>
        <v>0</v>
      </c>
      <c r="E6">
        <f>'IBNR General Liability'!D6-'IBNR General Liability'!B6</f>
        <v>0</v>
      </c>
      <c r="F6">
        <f>'IBNR General Liability'!E6/(1+DiscountRate)^3</f>
        <v>0</v>
      </c>
      <c r="G6">
        <f>'IBNR General Liability'!B6*CaseAdequacy*0.1</f>
        <v>0</v>
      </c>
      <c r="H6">
        <f>'IBNR General Liability'!F6+'IBNR General Liability'!G6+'IBNR General Liability'!E6*ULAEFactor+'IBNR General Liability'!D6*BulkReservePct</f>
        <v>0</v>
      </c>
    </row>
    <row r="7">
      <c r="A7">
        <v>2021</v>
      </c>
      <c r="B7">
        <f>'Tri General Liability'!F7</f>
        <v>0</v>
      </c>
      <c r="C7">
        <f>'DF General Liability'!D6</f>
        <v>0</v>
      </c>
      <c r="D7">
        <f>'IBNR General Liability'!B7*'IBNR General Liability'!C7</f>
        <v>0</v>
      </c>
      <c r="E7">
        <f>'IBNR General Liability'!D7-'IBNR General Liability'!B7</f>
        <v>0</v>
      </c>
      <c r="F7">
        <f>'IBNR General Liability'!E7/(1+DiscountRate)^3</f>
        <v>0</v>
      </c>
      <c r="G7">
        <f>'IBNR General Liability'!B7*CaseAdequacy*0.1</f>
        <v>0</v>
      </c>
      <c r="H7">
        <f>'IBNR General Liability'!F7+'IBNR General Liability'!G7+'IBNR General Liability'!E7*ULAEFactor+'IBNR General Liability'!D7*BulkReservePct</f>
        <v>0</v>
      </c>
    </row>
    <row r="8">
      <c r="A8">
        <v>2022</v>
      </c>
      <c r="B8">
        <f>'Tri General Liability'!E8</f>
        <v>0</v>
      </c>
      <c r="C8">
        <f>'DF General Liability'!D5</f>
        <v>0</v>
      </c>
      <c r="D8">
        <f>'IBNR General Liability'!B8*'IBNR General Liability'!C8</f>
        <v>0</v>
      </c>
      <c r="E8">
        <f>'IBNR General Liability'!D8-'IBNR General Liability'!B8</f>
        <v>0</v>
      </c>
      <c r="F8">
        <f>'IBNR General Liability'!E8/(1+DiscountRate)^2</f>
        <v>0</v>
      </c>
      <c r="G8">
        <f>'IBNR General Liability'!B8*CaseAdequacy*0.1</f>
        <v>0</v>
      </c>
      <c r="H8">
        <f>'IBNR General Liability'!F8+'IBNR General Liability'!G8+'IBNR General Liability'!E8*ULAEFactor+'IBNR General Liability'!D8*BulkReservePct</f>
        <v>0</v>
      </c>
    </row>
    <row r="9">
      <c r="A9">
        <v>2023</v>
      </c>
      <c r="B9">
        <f>'Tri General Liability'!D9</f>
        <v>0</v>
      </c>
      <c r="C9">
        <f>'DF General Liability'!D4</f>
        <v>0</v>
      </c>
      <c r="D9">
        <f>'IBNR General Liability'!B9*'IBNR General Liability'!C9</f>
        <v>0</v>
      </c>
      <c r="E9">
        <f>'IBNR General Liability'!D9-'IBNR General Liability'!B9</f>
        <v>0</v>
      </c>
      <c r="F9">
        <f>'IBNR General Liability'!E9/(1+DiscountRate)^2</f>
        <v>0</v>
      </c>
      <c r="G9">
        <f>'IBNR General Liability'!B9*CaseAdequacy*0.1</f>
        <v>0</v>
      </c>
      <c r="H9">
        <f>'IBNR General Liability'!F9+'IBNR General Liability'!G9+'IBNR General Liability'!E9*ULAEFactor+'IBNR General Liability'!D9*BulkReservePct</f>
        <v>0</v>
      </c>
    </row>
    <row r="10">
      <c r="A10">
        <v>2024</v>
      </c>
      <c r="B10">
        <f>'Tri General Liability'!C10</f>
        <v>0</v>
      </c>
      <c r="C10">
        <f>'DF General Liability'!D3</f>
        <v>0</v>
      </c>
      <c r="D10">
        <f>'IBNR General Liability'!B10*'IBNR General Liability'!C10</f>
        <v>0</v>
      </c>
      <c r="E10">
        <f>'IBNR General Liability'!D10-'IBNR General Liability'!B10</f>
        <v>0</v>
      </c>
      <c r="F10">
        <f>'IBNR General Liability'!E10/(1+DiscountRate)^1</f>
        <v>0</v>
      </c>
      <c r="G10">
        <f>'IBNR General Liability'!B10*CaseAdequacy*0.1</f>
        <v>0</v>
      </c>
      <c r="H10">
        <f>'IBNR General Liability'!F10+'IBNR General Liability'!G10+'IBNR General Liability'!E10*ULAEFactor+'IBNR General Liability'!D10*BulkReservePct</f>
        <v>0</v>
      </c>
    </row>
    <row r="11">
      <c r="A11">
        <v>2025</v>
      </c>
      <c r="B11">
        <f>'Tri General Liability'!B11</f>
        <v>0</v>
      </c>
      <c r="C11">
        <f>'DF General Liability'!D2</f>
        <v>0</v>
      </c>
      <c r="D11">
        <f>'IBNR General Liability'!B11*'IBNR General Liability'!C11</f>
        <v>0</v>
      </c>
      <c r="E11">
        <f>'IBNR General Liability'!D11-'IBNR General Liability'!B11</f>
        <v>0</v>
      </c>
      <c r="F11">
        <f>'IBNR General Liability'!E11/(1+DiscountRate)^1</f>
        <v>0</v>
      </c>
      <c r="G11">
        <f>'IBNR General Liability'!B11*CaseAdequacy*0.1</f>
        <v>0</v>
      </c>
      <c r="H11">
        <f>'IBNR General Liability'!F11+'IBNR General Liability'!G11+'IBNR General Liability'!E11*ULAEFactor+'IBNR General Liability'!D11*BulkReservePct</f>
        <v>0</v>
      </c>
    </row>
  </sheetData>
  <ignoredErrors>
    <ignoredError numberStoredAsText="1" sqref="A1:H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263919</v>
      </c>
      <c r="C2">
        <v>316202</v>
      </c>
      <c r="D2">
        <v>344218</v>
      </c>
      <c r="E2">
        <v>386616</v>
      </c>
      <c r="F2">
        <v>389959</v>
      </c>
      <c r="G2">
        <v>409329</v>
      </c>
      <c r="H2">
        <v>475458</v>
      </c>
      <c r="I2">
        <v>464450</v>
      </c>
      <c r="J2">
        <v>597960</v>
      </c>
      <c r="K2">
        <v>575542</v>
      </c>
    </row>
    <row r="3">
      <c r="A3">
        <v>2017</v>
      </c>
      <c r="B3">
        <v>255107</v>
      </c>
      <c r="C3">
        <v>313628</v>
      </c>
      <c r="D3">
        <v>368655</v>
      </c>
      <c r="E3">
        <v>386382</v>
      </c>
      <c r="F3">
        <v>403351</v>
      </c>
      <c r="G3">
        <v>491891</v>
      </c>
      <c r="H3">
        <v>473478</v>
      </c>
      <c r="I3">
        <v>529904</v>
      </c>
      <c r="J3">
        <v>519828</v>
      </c>
    </row>
    <row r="4">
      <c r="A4">
        <v>2018</v>
      </c>
      <c r="B4">
        <v>280905</v>
      </c>
      <c r="C4">
        <v>282847</v>
      </c>
      <c r="D4">
        <v>382921</v>
      </c>
      <c r="E4">
        <v>370524</v>
      </c>
      <c r="F4">
        <v>422960</v>
      </c>
      <c r="G4">
        <v>433714</v>
      </c>
      <c r="H4">
        <v>504902</v>
      </c>
      <c r="I4">
        <v>594045</v>
      </c>
    </row>
    <row r="5">
      <c r="A5">
        <v>2019</v>
      </c>
      <c r="B5">
        <v>305630</v>
      </c>
      <c r="C5">
        <v>299344</v>
      </c>
      <c r="D5">
        <v>339858</v>
      </c>
      <c r="E5">
        <v>394433</v>
      </c>
      <c r="F5">
        <v>410391</v>
      </c>
      <c r="G5">
        <v>453565</v>
      </c>
      <c r="H5">
        <v>491763</v>
      </c>
    </row>
    <row r="6">
      <c r="A6">
        <v>2020</v>
      </c>
      <c r="B6">
        <v>300962</v>
      </c>
      <c r="C6">
        <v>326214</v>
      </c>
      <c r="D6">
        <v>398062</v>
      </c>
      <c r="E6">
        <v>412451</v>
      </c>
      <c r="F6">
        <v>485261</v>
      </c>
      <c r="G6">
        <v>481902</v>
      </c>
    </row>
    <row r="7">
      <c r="A7">
        <v>2021</v>
      </c>
      <c r="B7">
        <v>300915</v>
      </c>
      <c r="C7">
        <v>365952</v>
      </c>
      <c r="D7">
        <v>413835</v>
      </c>
      <c r="E7">
        <v>404145</v>
      </c>
      <c r="F7">
        <v>475444</v>
      </c>
    </row>
    <row r="8">
      <c r="A8">
        <v>2022</v>
      </c>
      <c r="B8">
        <v>291518</v>
      </c>
      <c r="C8">
        <v>351503</v>
      </c>
      <c r="D8">
        <v>418992</v>
      </c>
      <c r="E8">
        <v>450626</v>
      </c>
    </row>
    <row r="9">
      <c r="A9">
        <v>2023</v>
      </c>
      <c r="B9">
        <v>350609</v>
      </c>
      <c r="C9">
        <v>397142</v>
      </c>
      <c r="D9">
        <v>429281</v>
      </c>
    </row>
    <row r="10">
      <c r="A10">
        <v>2024</v>
      </c>
      <c r="B10">
        <v>324284</v>
      </c>
      <c r="C10">
        <v>371250</v>
      </c>
    </row>
    <row r="11">
      <c r="A11">
        <v>2025</v>
      </c>
      <c r="B11">
        <v>369044</v>
      </c>
    </row>
  </sheetData>
  <ignoredErrors>
    <ignoredError numberStoredAsText="1" sqref="A1:K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Workers Comp'!C2/'Tri Workers Comp'!B2</f>
        <v>0</v>
      </c>
      <c r="C2">
        <f>'DF Workers Comp'!B2*CredThreshold+(1-CredThreshold)*1.05</f>
        <v>0</v>
      </c>
      <c r="D2">
        <f>'DF Workers Comp'!C2*'DF Workers Comp'!D3</f>
        <v>0</v>
      </c>
      <c r="E2">
        <f>'DF Workers Comp'!D2*TailFactor</f>
        <v>0</v>
      </c>
    </row>
    <row r="3">
      <c r="A3" t="str">
        <v>2-3</v>
      </c>
      <c r="B3">
        <f>'Tri Workers Comp'!D2/'Tri Workers Comp'!C2</f>
        <v>0</v>
      </c>
      <c r="C3">
        <f>'DF Workers Comp'!B3*CredThreshold+(1-CredThreshold)*1.05</f>
        <v>0</v>
      </c>
      <c r="D3">
        <f>'DF Workers Comp'!C3*'DF Workers Comp'!D4</f>
        <v>0</v>
      </c>
      <c r="E3">
        <f>'DF Workers Comp'!D3*TailFactor</f>
        <v>0</v>
      </c>
    </row>
    <row r="4">
      <c r="A4" t="str">
        <v>3-4</v>
      </c>
      <c r="B4">
        <f>'Tri Workers Comp'!E2/'Tri Workers Comp'!D2</f>
        <v>0</v>
      </c>
      <c r="C4">
        <f>'DF Workers Comp'!B4*CredThreshold+(1-CredThreshold)*1.05</f>
        <v>0</v>
      </c>
      <c r="D4">
        <f>'DF Workers Comp'!C4*'DF Workers Comp'!D5</f>
        <v>0</v>
      </c>
      <c r="E4">
        <f>'DF Workers Comp'!D4*TailFactor</f>
        <v>0</v>
      </c>
    </row>
    <row r="5">
      <c r="A5" t="str">
        <v>4-5</v>
      </c>
      <c r="B5">
        <f>'Tri Workers Comp'!F2/'Tri Workers Comp'!E2</f>
        <v>0</v>
      </c>
      <c r="C5">
        <f>'DF Workers Comp'!B5*CredThreshold+(1-CredThreshold)*1.05</f>
        <v>0</v>
      </c>
      <c r="D5">
        <f>'DF Workers Comp'!C5*'DF Workers Comp'!D6</f>
        <v>0</v>
      </c>
      <c r="E5">
        <f>'DF Workers Comp'!D5*TailFactor</f>
        <v>0</v>
      </c>
    </row>
    <row r="6">
      <c r="A6" t="str">
        <v>5-6</v>
      </c>
      <c r="B6">
        <f>'Tri Workers Comp'!G2/'Tri Workers Comp'!F2</f>
        <v>0</v>
      </c>
      <c r="C6">
        <f>'DF Workers Comp'!B6*CredThreshold+(1-CredThreshold)*1.05</f>
        <v>0</v>
      </c>
      <c r="D6">
        <f>'DF Workers Comp'!C6*'DF Workers Comp'!D7</f>
        <v>0</v>
      </c>
      <c r="E6">
        <f>'DF Workers Comp'!D6*TailFactor</f>
        <v>0</v>
      </c>
    </row>
    <row r="7">
      <c r="A7" t="str">
        <v>6-7</v>
      </c>
      <c r="B7">
        <f>'Tri Workers Comp'!H2/'Tri Workers Comp'!G2</f>
        <v>0</v>
      </c>
      <c r="C7">
        <f>'DF Workers Comp'!B7*CredThreshold+(1-CredThreshold)*1.05</f>
        <v>0</v>
      </c>
      <c r="D7">
        <f>'DF Workers Comp'!C7*'DF Workers Comp'!D8</f>
        <v>0</v>
      </c>
      <c r="E7">
        <f>'DF Workers Comp'!D7*TailFactor</f>
        <v>0</v>
      </c>
    </row>
    <row r="8">
      <c r="A8" t="str">
        <v>7-8</v>
      </c>
      <c r="B8">
        <f>'Tri Workers Comp'!I2/'Tri Workers Comp'!H2</f>
        <v>0</v>
      </c>
      <c r="C8">
        <f>'DF Workers Comp'!B8*CredThreshold+(1-CredThreshold)*1.05</f>
        <v>0</v>
      </c>
      <c r="D8">
        <f>'DF Workers Comp'!C8*'DF Workers Comp'!D9</f>
        <v>0</v>
      </c>
      <c r="E8">
        <f>'DF Workers Comp'!D8*TailFactor</f>
        <v>0</v>
      </c>
    </row>
    <row r="9">
      <c r="A9" t="str">
        <v>8-9</v>
      </c>
      <c r="B9">
        <f>'Tri Workers Comp'!J2/'Tri Workers Comp'!I2</f>
        <v>0</v>
      </c>
      <c r="C9">
        <f>'DF Workers Comp'!B9*CredThreshold+(1-CredThreshold)*1.05</f>
        <v>0</v>
      </c>
      <c r="D9">
        <f>'DF Workers Comp'!C9*'DF Workers Comp'!D10</f>
        <v>0</v>
      </c>
      <c r="E9">
        <f>'DF Workers Comp'!D9*TailFactor</f>
        <v>0</v>
      </c>
    </row>
    <row r="10">
      <c r="A10" t="str">
        <v>9-10</v>
      </c>
      <c r="B10">
        <f>'Tri Workers Comp'!K2/'Tri Workers Comp'!J2</f>
        <v>0</v>
      </c>
      <c r="C10">
        <f>'DF Workers Comp'!B10*CredThreshold+(1-CredThreshold)*1.05</f>
        <v>0</v>
      </c>
      <c r="D10">
        <f>'DF Workers Comp'!C10*TailFactor</f>
        <v>0</v>
      </c>
      <c r="E10">
        <f>'DF Workers Comp'!D10*TailFactor</f>
        <v>0</v>
      </c>
    </row>
  </sheetData>
  <ignoredErrors>
    <ignoredError numberStoredAsText="1" sqref="A1:E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Workers Comp'!K2</f>
        <v>0</v>
      </c>
      <c r="C2">
        <f>TailFactor</f>
        <v>0</v>
      </c>
      <c r="D2">
        <f>'IBNR Workers Comp'!B2*'IBNR Workers Comp'!C2</f>
        <v>0</v>
      </c>
      <c r="E2">
        <f>'IBNR Workers Comp'!D2-'IBNR Workers Comp'!B2</f>
        <v>0</v>
      </c>
      <c r="F2">
        <f>'IBNR Workers Comp'!E2/(1+DiscountRate)^5</f>
        <v>0</v>
      </c>
      <c r="G2">
        <f>'IBNR Workers Comp'!B2*CaseAdequacy*0.1</f>
        <v>0</v>
      </c>
      <c r="H2">
        <f>'IBNR Workers Comp'!F2+'IBNR Workers Comp'!G2+'IBNR Workers Comp'!E2*ULAEFactor+'IBNR Workers Comp'!D2*BulkReservePct</f>
        <v>0</v>
      </c>
    </row>
    <row r="3">
      <c r="A3">
        <v>2017</v>
      </c>
      <c r="B3">
        <f>'Tri Workers Comp'!J3</f>
        <v>0</v>
      </c>
      <c r="C3">
        <f>'DF Workers Comp'!D10</f>
        <v>0</v>
      </c>
      <c r="D3">
        <f>'IBNR Workers Comp'!B3*'IBNR Workers Comp'!C3</f>
        <v>0</v>
      </c>
      <c r="E3">
        <f>'IBNR Workers Comp'!D3-'IBNR Workers Comp'!B3</f>
        <v>0</v>
      </c>
      <c r="F3">
        <f>'IBNR Workers Comp'!E3/(1+DiscountRate)^5</f>
        <v>0</v>
      </c>
      <c r="G3">
        <f>'IBNR Workers Comp'!B3*CaseAdequacy*0.1</f>
        <v>0</v>
      </c>
      <c r="H3">
        <f>'IBNR Workers Comp'!F3+'IBNR Workers Comp'!G3+'IBNR Workers Comp'!E3*ULAEFactor+'IBNR Workers Comp'!D3*BulkReservePct</f>
        <v>0</v>
      </c>
    </row>
    <row r="4">
      <c r="A4">
        <v>2018</v>
      </c>
      <c r="B4">
        <f>'Tri Workers Comp'!I4</f>
        <v>0</v>
      </c>
      <c r="C4">
        <f>'DF Workers Comp'!D9</f>
        <v>0</v>
      </c>
      <c r="D4">
        <f>'IBNR Workers Comp'!B4*'IBNR Workers Comp'!C4</f>
        <v>0</v>
      </c>
      <c r="E4">
        <f>'IBNR Workers Comp'!D4-'IBNR Workers Comp'!B4</f>
        <v>0</v>
      </c>
      <c r="F4">
        <f>'IBNR Workers Comp'!E4/(1+DiscountRate)^4</f>
        <v>0</v>
      </c>
      <c r="G4">
        <f>'IBNR Workers Comp'!B4*CaseAdequacy*0.1</f>
        <v>0</v>
      </c>
      <c r="H4">
        <f>'IBNR Workers Comp'!F4+'IBNR Workers Comp'!G4+'IBNR Workers Comp'!E4*ULAEFactor+'IBNR Workers Comp'!D4*BulkReservePct</f>
        <v>0</v>
      </c>
    </row>
    <row r="5">
      <c r="A5">
        <v>2019</v>
      </c>
      <c r="B5">
        <f>'Tri Workers Comp'!H5</f>
        <v>0</v>
      </c>
      <c r="C5">
        <f>'DF Workers Comp'!D8</f>
        <v>0</v>
      </c>
      <c r="D5">
        <f>'IBNR Workers Comp'!B5*'IBNR Workers Comp'!C5</f>
        <v>0</v>
      </c>
      <c r="E5">
        <f>'IBNR Workers Comp'!D5-'IBNR Workers Comp'!B5</f>
        <v>0</v>
      </c>
      <c r="F5">
        <f>'IBNR Workers Comp'!E5/(1+DiscountRate)^4</f>
        <v>0</v>
      </c>
      <c r="G5">
        <f>'IBNR Workers Comp'!B5*CaseAdequacy*0.1</f>
        <v>0</v>
      </c>
      <c r="H5">
        <f>'IBNR Workers Comp'!F5+'IBNR Workers Comp'!G5+'IBNR Workers Comp'!E5*ULAEFactor+'IBNR Workers Comp'!D5*BulkReservePct</f>
        <v>0</v>
      </c>
    </row>
    <row r="6">
      <c r="A6">
        <v>2020</v>
      </c>
      <c r="B6">
        <f>'Tri Workers Comp'!G6</f>
        <v>0</v>
      </c>
      <c r="C6">
        <f>'DF Workers Comp'!D7</f>
        <v>0</v>
      </c>
      <c r="D6">
        <f>'IBNR Workers Comp'!B6*'IBNR Workers Comp'!C6</f>
        <v>0</v>
      </c>
      <c r="E6">
        <f>'IBNR Workers Comp'!D6-'IBNR Workers Comp'!B6</f>
        <v>0</v>
      </c>
      <c r="F6">
        <f>'IBNR Workers Comp'!E6/(1+DiscountRate)^3</f>
        <v>0</v>
      </c>
      <c r="G6">
        <f>'IBNR Workers Comp'!B6*CaseAdequacy*0.1</f>
        <v>0</v>
      </c>
      <c r="H6">
        <f>'IBNR Workers Comp'!F6+'IBNR Workers Comp'!G6+'IBNR Workers Comp'!E6*ULAEFactor+'IBNR Workers Comp'!D6*BulkReservePct</f>
        <v>0</v>
      </c>
    </row>
    <row r="7">
      <c r="A7">
        <v>2021</v>
      </c>
      <c r="B7">
        <f>'Tri Workers Comp'!F7</f>
        <v>0</v>
      </c>
      <c r="C7">
        <f>'DF Workers Comp'!D6</f>
        <v>0</v>
      </c>
      <c r="D7">
        <f>'IBNR Workers Comp'!B7*'IBNR Workers Comp'!C7</f>
        <v>0</v>
      </c>
      <c r="E7">
        <f>'IBNR Workers Comp'!D7-'IBNR Workers Comp'!B7</f>
        <v>0</v>
      </c>
      <c r="F7">
        <f>'IBNR Workers Comp'!E7/(1+DiscountRate)^3</f>
        <v>0</v>
      </c>
      <c r="G7">
        <f>'IBNR Workers Comp'!B7*CaseAdequacy*0.1</f>
        <v>0</v>
      </c>
      <c r="H7">
        <f>'IBNR Workers Comp'!F7+'IBNR Workers Comp'!G7+'IBNR Workers Comp'!E7*ULAEFactor+'IBNR Workers Comp'!D7*BulkReservePct</f>
        <v>0</v>
      </c>
    </row>
    <row r="8">
      <c r="A8">
        <v>2022</v>
      </c>
      <c r="B8">
        <f>'Tri Workers Comp'!E8</f>
        <v>0</v>
      </c>
      <c r="C8">
        <f>'DF Workers Comp'!D5</f>
        <v>0</v>
      </c>
      <c r="D8">
        <f>'IBNR Workers Comp'!B8*'IBNR Workers Comp'!C8</f>
        <v>0</v>
      </c>
      <c r="E8">
        <f>'IBNR Workers Comp'!D8-'IBNR Workers Comp'!B8</f>
        <v>0</v>
      </c>
      <c r="F8">
        <f>'IBNR Workers Comp'!E8/(1+DiscountRate)^2</f>
        <v>0</v>
      </c>
      <c r="G8">
        <f>'IBNR Workers Comp'!B8*CaseAdequacy*0.1</f>
        <v>0</v>
      </c>
      <c r="H8">
        <f>'IBNR Workers Comp'!F8+'IBNR Workers Comp'!G8+'IBNR Workers Comp'!E8*ULAEFactor+'IBNR Workers Comp'!D8*BulkReservePct</f>
        <v>0</v>
      </c>
    </row>
    <row r="9">
      <c r="A9">
        <v>2023</v>
      </c>
      <c r="B9">
        <f>'Tri Workers Comp'!D9</f>
        <v>0</v>
      </c>
      <c r="C9">
        <f>'DF Workers Comp'!D4</f>
        <v>0</v>
      </c>
      <c r="D9">
        <f>'IBNR Workers Comp'!B9*'IBNR Workers Comp'!C9</f>
        <v>0</v>
      </c>
      <c r="E9">
        <f>'IBNR Workers Comp'!D9-'IBNR Workers Comp'!B9</f>
        <v>0</v>
      </c>
      <c r="F9">
        <f>'IBNR Workers Comp'!E9/(1+DiscountRate)^2</f>
        <v>0</v>
      </c>
      <c r="G9">
        <f>'IBNR Workers Comp'!B9*CaseAdequacy*0.1</f>
        <v>0</v>
      </c>
      <c r="H9">
        <f>'IBNR Workers Comp'!F9+'IBNR Workers Comp'!G9+'IBNR Workers Comp'!E9*ULAEFactor+'IBNR Workers Comp'!D9*BulkReservePct</f>
        <v>0</v>
      </c>
    </row>
    <row r="10">
      <c r="A10">
        <v>2024</v>
      </c>
      <c r="B10">
        <f>'Tri Workers Comp'!C10</f>
        <v>0</v>
      </c>
      <c r="C10">
        <f>'DF Workers Comp'!D3</f>
        <v>0</v>
      </c>
      <c r="D10">
        <f>'IBNR Workers Comp'!B10*'IBNR Workers Comp'!C10</f>
        <v>0</v>
      </c>
      <c r="E10">
        <f>'IBNR Workers Comp'!D10-'IBNR Workers Comp'!B10</f>
        <v>0</v>
      </c>
      <c r="F10">
        <f>'IBNR Workers Comp'!E10/(1+DiscountRate)^1</f>
        <v>0</v>
      </c>
      <c r="G10">
        <f>'IBNR Workers Comp'!B10*CaseAdequacy*0.1</f>
        <v>0</v>
      </c>
      <c r="H10">
        <f>'IBNR Workers Comp'!F10+'IBNR Workers Comp'!G10+'IBNR Workers Comp'!E10*ULAEFactor+'IBNR Workers Comp'!D10*BulkReservePct</f>
        <v>0</v>
      </c>
    </row>
    <row r="11">
      <c r="A11">
        <v>2025</v>
      </c>
      <c r="B11">
        <f>'Tri Workers Comp'!B11</f>
        <v>0</v>
      </c>
      <c r="C11">
        <f>'DF Workers Comp'!D2</f>
        <v>0</v>
      </c>
      <c r="D11">
        <f>'IBNR Workers Comp'!B11*'IBNR Workers Comp'!C11</f>
        <v>0</v>
      </c>
      <c r="E11">
        <f>'IBNR Workers Comp'!D11-'IBNR Workers Comp'!B11</f>
        <v>0</v>
      </c>
      <c r="F11">
        <f>'IBNR Workers Comp'!E11/(1+DiscountRate)^1</f>
        <v>0</v>
      </c>
      <c r="G11">
        <f>'IBNR Workers Comp'!B11*CaseAdequacy*0.1</f>
        <v>0</v>
      </c>
      <c r="H11">
        <f>'IBNR Workers Comp'!F11+'IBNR Workers Comp'!G11+'IBNR Workers Comp'!E11*ULAEFactor+'IBNR Workers Comp'!D11*BulkReservePct</f>
        <v>0</v>
      </c>
    </row>
  </sheetData>
  <ignoredErrors>
    <ignoredError numberStoredAsText="1" sqref="A1:H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316725</v>
      </c>
      <c r="C2">
        <v>370963</v>
      </c>
      <c r="D2">
        <v>355908</v>
      </c>
      <c r="E2">
        <v>465170</v>
      </c>
      <c r="F2">
        <v>506590</v>
      </c>
      <c r="G2">
        <v>534891</v>
      </c>
      <c r="H2">
        <v>519488</v>
      </c>
      <c r="I2">
        <v>554727</v>
      </c>
      <c r="J2">
        <v>597793</v>
      </c>
      <c r="K2">
        <v>688303</v>
      </c>
    </row>
    <row r="3">
      <c r="A3">
        <v>2017</v>
      </c>
      <c r="B3">
        <v>284771</v>
      </c>
      <c r="C3">
        <v>351936</v>
      </c>
      <c r="D3">
        <v>416742</v>
      </c>
      <c r="E3">
        <v>474887</v>
      </c>
      <c r="F3">
        <v>480495</v>
      </c>
      <c r="G3">
        <v>511318</v>
      </c>
      <c r="H3">
        <v>611071</v>
      </c>
      <c r="I3">
        <v>680167</v>
      </c>
      <c r="J3">
        <v>657103</v>
      </c>
    </row>
    <row r="4">
      <c r="A4">
        <v>2018</v>
      </c>
      <c r="B4">
        <v>306986</v>
      </c>
      <c r="C4">
        <v>363293</v>
      </c>
      <c r="D4">
        <v>406191</v>
      </c>
      <c r="E4">
        <v>447045</v>
      </c>
      <c r="F4">
        <v>536251</v>
      </c>
      <c r="G4">
        <v>524663</v>
      </c>
      <c r="H4">
        <v>629804</v>
      </c>
      <c r="I4">
        <v>695316</v>
      </c>
    </row>
    <row r="5">
      <c r="A5">
        <v>2019</v>
      </c>
      <c r="B5">
        <v>325994</v>
      </c>
      <c r="C5">
        <v>364795</v>
      </c>
      <c r="D5">
        <v>437914</v>
      </c>
      <c r="E5">
        <v>480138</v>
      </c>
      <c r="F5">
        <v>553914</v>
      </c>
      <c r="G5">
        <v>548204</v>
      </c>
      <c r="H5">
        <v>676048</v>
      </c>
    </row>
    <row r="6">
      <c r="A6">
        <v>2020</v>
      </c>
      <c r="B6">
        <v>318460</v>
      </c>
      <c r="C6">
        <v>352048</v>
      </c>
      <c r="D6">
        <v>401688</v>
      </c>
      <c r="E6">
        <v>471428</v>
      </c>
      <c r="F6">
        <v>515727</v>
      </c>
      <c r="G6">
        <v>574318</v>
      </c>
    </row>
    <row r="7">
      <c r="A7">
        <v>2021</v>
      </c>
      <c r="B7">
        <v>367001</v>
      </c>
      <c r="C7">
        <v>397205</v>
      </c>
      <c r="D7">
        <v>425238</v>
      </c>
      <c r="E7">
        <v>548387</v>
      </c>
      <c r="F7">
        <v>571036</v>
      </c>
    </row>
    <row r="8">
      <c r="A8">
        <v>2022</v>
      </c>
      <c r="B8">
        <v>329904</v>
      </c>
      <c r="C8">
        <v>424980</v>
      </c>
      <c r="D8">
        <v>461784</v>
      </c>
      <c r="E8">
        <v>486913</v>
      </c>
    </row>
    <row r="9">
      <c r="A9">
        <v>2023</v>
      </c>
      <c r="B9">
        <v>356395</v>
      </c>
      <c r="C9">
        <v>438809</v>
      </c>
      <c r="D9">
        <v>500106</v>
      </c>
    </row>
    <row r="10">
      <c r="A10">
        <v>2024</v>
      </c>
      <c r="B10">
        <v>383637</v>
      </c>
      <c r="C10">
        <v>470143</v>
      </c>
    </row>
    <row r="11">
      <c r="A11">
        <v>2025</v>
      </c>
      <c r="B11">
        <v>400275</v>
      </c>
    </row>
  </sheetData>
  <ignoredErrors>
    <ignoredError numberStoredAsText="1" sqref="A1:K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Commercial Property'!C2/'Tri Commercial Property'!B2</f>
        <v>0</v>
      </c>
      <c r="C2">
        <f>'DF Commercial Property'!B2*CredThreshold+(1-CredThreshold)*1.05</f>
        <v>0</v>
      </c>
      <c r="D2">
        <f>'DF Commercial Property'!C2*'DF Commercial Property'!D3</f>
        <v>0</v>
      </c>
      <c r="E2">
        <f>'DF Commercial Property'!D2*TailFactor</f>
        <v>0</v>
      </c>
    </row>
    <row r="3">
      <c r="A3" t="str">
        <v>2-3</v>
      </c>
      <c r="B3">
        <f>'Tri Commercial Property'!D2/'Tri Commercial Property'!C2</f>
        <v>0</v>
      </c>
      <c r="C3">
        <f>'DF Commercial Property'!B3*CredThreshold+(1-CredThreshold)*1.05</f>
        <v>0</v>
      </c>
      <c r="D3">
        <f>'DF Commercial Property'!C3*'DF Commercial Property'!D4</f>
        <v>0</v>
      </c>
      <c r="E3">
        <f>'DF Commercial Property'!D3*TailFactor</f>
        <v>0</v>
      </c>
    </row>
    <row r="4">
      <c r="A4" t="str">
        <v>3-4</v>
      </c>
      <c r="B4">
        <f>'Tri Commercial Property'!E2/'Tri Commercial Property'!D2</f>
        <v>0</v>
      </c>
      <c r="C4">
        <f>'DF Commercial Property'!B4*CredThreshold+(1-CredThreshold)*1.05</f>
        <v>0</v>
      </c>
      <c r="D4">
        <f>'DF Commercial Property'!C4*'DF Commercial Property'!D5</f>
        <v>0</v>
      </c>
      <c r="E4">
        <f>'DF Commercial Property'!D4*TailFactor</f>
        <v>0</v>
      </c>
    </row>
    <row r="5">
      <c r="A5" t="str">
        <v>4-5</v>
      </c>
      <c r="B5">
        <f>'Tri Commercial Property'!F2/'Tri Commercial Property'!E2</f>
        <v>0</v>
      </c>
      <c r="C5">
        <f>'DF Commercial Property'!B5*CredThreshold+(1-CredThreshold)*1.05</f>
        <v>0</v>
      </c>
      <c r="D5">
        <f>'DF Commercial Property'!C5*'DF Commercial Property'!D6</f>
        <v>0</v>
      </c>
      <c r="E5">
        <f>'DF Commercial Property'!D5*TailFactor</f>
        <v>0</v>
      </c>
    </row>
    <row r="6">
      <c r="A6" t="str">
        <v>5-6</v>
      </c>
      <c r="B6">
        <f>'Tri Commercial Property'!G2/'Tri Commercial Property'!F2</f>
        <v>0</v>
      </c>
      <c r="C6">
        <f>'DF Commercial Property'!B6*CredThreshold+(1-CredThreshold)*1.05</f>
        <v>0</v>
      </c>
      <c r="D6">
        <f>'DF Commercial Property'!C6*'DF Commercial Property'!D7</f>
        <v>0</v>
      </c>
      <c r="E6">
        <f>'DF Commercial Property'!D6*TailFactor</f>
        <v>0</v>
      </c>
    </row>
    <row r="7">
      <c r="A7" t="str">
        <v>6-7</v>
      </c>
      <c r="B7">
        <f>'Tri Commercial Property'!H2/'Tri Commercial Property'!G2</f>
        <v>0</v>
      </c>
      <c r="C7">
        <f>'DF Commercial Property'!B7*CredThreshold+(1-CredThreshold)*1.05</f>
        <v>0</v>
      </c>
      <c r="D7">
        <f>'DF Commercial Property'!C7*'DF Commercial Property'!D8</f>
        <v>0</v>
      </c>
      <c r="E7">
        <f>'DF Commercial Property'!D7*TailFactor</f>
        <v>0</v>
      </c>
    </row>
    <row r="8">
      <c r="A8" t="str">
        <v>7-8</v>
      </c>
      <c r="B8">
        <f>'Tri Commercial Property'!I2/'Tri Commercial Property'!H2</f>
        <v>0</v>
      </c>
      <c r="C8">
        <f>'DF Commercial Property'!B8*CredThreshold+(1-CredThreshold)*1.05</f>
        <v>0</v>
      </c>
      <c r="D8">
        <f>'DF Commercial Property'!C8*'DF Commercial Property'!D9</f>
        <v>0</v>
      </c>
      <c r="E8">
        <f>'DF Commercial Property'!D8*TailFactor</f>
        <v>0</v>
      </c>
    </row>
    <row r="9">
      <c r="A9" t="str">
        <v>8-9</v>
      </c>
      <c r="B9">
        <f>'Tri Commercial Property'!J2/'Tri Commercial Property'!I2</f>
        <v>0</v>
      </c>
      <c r="C9">
        <f>'DF Commercial Property'!B9*CredThreshold+(1-CredThreshold)*1.05</f>
        <v>0</v>
      </c>
      <c r="D9">
        <f>'DF Commercial Property'!C9*'DF Commercial Property'!D10</f>
        <v>0</v>
      </c>
      <c r="E9">
        <f>'DF Commercial Property'!D9*TailFactor</f>
        <v>0</v>
      </c>
    </row>
    <row r="10">
      <c r="A10" t="str">
        <v>9-10</v>
      </c>
      <c r="B10">
        <f>'Tri Commercial Property'!K2/'Tri Commercial Property'!J2</f>
        <v>0</v>
      </c>
      <c r="C10">
        <f>'DF Commercial Property'!B10*CredThreshold+(1-CredThreshold)*1.05</f>
        <v>0</v>
      </c>
      <c r="D10">
        <f>'DF Commercial Property'!C10*TailFactor</f>
        <v>0</v>
      </c>
      <c r="E10">
        <f>'DF Commercial Property'!D10*TailFactor</f>
        <v>0</v>
      </c>
    </row>
  </sheetData>
  <ignoredErrors>
    <ignoredError numberStoredAsText="1" sqref="A1:E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Commercial Property'!K2</f>
        <v>0</v>
      </c>
      <c r="C2">
        <f>TailFactor</f>
        <v>0</v>
      </c>
      <c r="D2">
        <f>'IBNR Commercial Property'!B2*'IBNR Commercial Property'!C2</f>
        <v>0</v>
      </c>
      <c r="E2">
        <f>'IBNR Commercial Property'!D2-'IBNR Commercial Property'!B2</f>
        <v>0</v>
      </c>
      <c r="F2">
        <f>'IBNR Commercial Property'!E2/(1+DiscountRate)^5</f>
        <v>0</v>
      </c>
      <c r="G2">
        <f>'IBNR Commercial Property'!B2*CaseAdequacy*0.1</f>
        <v>0</v>
      </c>
      <c r="H2">
        <f>'IBNR Commercial Property'!F2+'IBNR Commercial Property'!G2+'IBNR Commercial Property'!E2*ULAEFactor+'IBNR Commercial Property'!D2*BulkReservePct</f>
        <v>0</v>
      </c>
    </row>
    <row r="3">
      <c r="A3">
        <v>2017</v>
      </c>
      <c r="B3">
        <f>'Tri Commercial Property'!J3</f>
        <v>0</v>
      </c>
      <c r="C3">
        <f>'DF Commercial Property'!D10</f>
        <v>0</v>
      </c>
      <c r="D3">
        <f>'IBNR Commercial Property'!B3*'IBNR Commercial Property'!C3</f>
        <v>0</v>
      </c>
      <c r="E3">
        <f>'IBNR Commercial Property'!D3-'IBNR Commercial Property'!B3</f>
        <v>0</v>
      </c>
      <c r="F3">
        <f>'IBNR Commercial Property'!E3/(1+DiscountRate)^5</f>
        <v>0</v>
      </c>
      <c r="G3">
        <f>'IBNR Commercial Property'!B3*CaseAdequacy*0.1</f>
        <v>0</v>
      </c>
      <c r="H3">
        <f>'IBNR Commercial Property'!F3+'IBNR Commercial Property'!G3+'IBNR Commercial Property'!E3*ULAEFactor+'IBNR Commercial Property'!D3*BulkReservePct</f>
        <v>0</v>
      </c>
    </row>
    <row r="4">
      <c r="A4">
        <v>2018</v>
      </c>
      <c r="B4">
        <f>'Tri Commercial Property'!I4</f>
        <v>0</v>
      </c>
      <c r="C4">
        <f>'DF Commercial Property'!D9</f>
        <v>0</v>
      </c>
      <c r="D4">
        <f>'IBNR Commercial Property'!B4*'IBNR Commercial Property'!C4</f>
        <v>0</v>
      </c>
      <c r="E4">
        <f>'IBNR Commercial Property'!D4-'IBNR Commercial Property'!B4</f>
        <v>0</v>
      </c>
      <c r="F4">
        <f>'IBNR Commercial Property'!E4/(1+DiscountRate)^4</f>
        <v>0</v>
      </c>
      <c r="G4">
        <f>'IBNR Commercial Property'!B4*CaseAdequacy*0.1</f>
        <v>0</v>
      </c>
      <c r="H4">
        <f>'IBNR Commercial Property'!F4+'IBNR Commercial Property'!G4+'IBNR Commercial Property'!E4*ULAEFactor+'IBNR Commercial Property'!D4*BulkReservePct</f>
        <v>0</v>
      </c>
    </row>
    <row r="5">
      <c r="A5">
        <v>2019</v>
      </c>
      <c r="B5">
        <f>'Tri Commercial Property'!H5</f>
        <v>0</v>
      </c>
      <c r="C5">
        <f>'DF Commercial Property'!D8</f>
        <v>0</v>
      </c>
      <c r="D5">
        <f>'IBNR Commercial Property'!B5*'IBNR Commercial Property'!C5</f>
        <v>0</v>
      </c>
      <c r="E5">
        <f>'IBNR Commercial Property'!D5-'IBNR Commercial Property'!B5</f>
        <v>0</v>
      </c>
      <c r="F5">
        <f>'IBNR Commercial Property'!E5/(1+DiscountRate)^4</f>
        <v>0</v>
      </c>
      <c r="G5">
        <f>'IBNR Commercial Property'!B5*CaseAdequacy*0.1</f>
        <v>0</v>
      </c>
      <c r="H5">
        <f>'IBNR Commercial Property'!F5+'IBNR Commercial Property'!G5+'IBNR Commercial Property'!E5*ULAEFactor+'IBNR Commercial Property'!D5*BulkReservePct</f>
        <v>0</v>
      </c>
    </row>
    <row r="6">
      <c r="A6">
        <v>2020</v>
      </c>
      <c r="B6">
        <f>'Tri Commercial Property'!G6</f>
        <v>0</v>
      </c>
      <c r="C6">
        <f>'DF Commercial Property'!D7</f>
        <v>0</v>
      </c>
      <c r="D6">
        <f>'IBNR Commercial Property'!B6*'IBNR Commercial Property'!C6</f>
        <v>0</v>
      </c>
      <c r="E6">
        <f>'IBNR Commercial Property'!D6-'IBNR Commercial Property'!B6</f>
        <v>0</v>
      </c>
      <c r="F6">
        <f>'IBNR Commercial Property'!E6/(1+DiscountRate)^3</f>
        <v>0</v>
      </c>
      <c r="G6">
        <f>'IBNR Commercial Property'!B6*CaseAdequacy*0.1</f>
        <v>0</v>
      </c>
      <c r="H6">
        <f>'IBNR Commercial Property'!F6+'IBNR Commercial Property'!G6+'IBNR Commercial Property'!E6*ULAEFactor+'IBNR Commercial Property'!D6*BulkReservePct</f>
        <v>0</v>
      </c>
    </row>
    <row r="7">
      <c r="A7">
        <v>2021</v>
      </c>
      <c r="B7">
        <f>'Tri Commercial Property'!F7</f>
        <v>0</v>
      </c>
      <c r="C7">
        <f>'DF Commercial Property'!D6</f>
        <v>0</v>
      </c>
      <c r="D7">
        <f>'IBNR Commercial Property'!B7*'IBNR Commercial Property'!C7</f>
        <v>0</v>
      </c>
      <c r="E7">
        <f>'IBNR Commercial Property'!D7-'IBNR Commercial Property'!B7</f>
        <v>0</v>
      </c>
      <c r="F7">
        <f>'IBNR Commercial Property'!E7/(1+DiscountRate)^3</f>
        <v>0</v>
      </c>
      <c r="G7">
        <f>'IBNR Commercial Property'!B7*CaseAdequacy*0.1</f>
        <v>0</v>
      </c>
      <c r="H7">
        <f>'IBNR Commercial Property'!F7+'IBNR Commercial Property'!G7+'IBNR Commercial Property'!E7*ULAEFactor+'IBNR Commercial Property'!D7*BulkReservePct</f>
        <v>0</v>
      </c>
    </row>
    <row r="8">
      <c r="A8">
        <v>2022</v>
      </c>
      <c r="B8">
        <f>'Tri Commercial Property'!E8</f>
        <v>0</v>
      </c>
      <c r="C8">
        <f>'DF Commercial Property'!D5</f>
        <v>0</v>
      </c>
      <c r="D8">
        <f>'IBNR Commercial Property'!B8*'IBNR Commercial Property'!C8</f>
        <v>0</v>
      </c>
      <c r="E8">
        <f>'IBNR Commercial Property'!D8-'IBNR Commercial Property'!B8</f>
        <v>0</v>
      </c>
      <c r="F8">
        <f>'IBNR Commercial Property'!E8/(1+DiscountRate)^2</f>
        <v>0</v>
      </c>
      <c r="G8">
        <f>'IBNR Commercial Property'!B8*CaseAdequacy*0.1</f>
        <v>0</v>
      </c>
      <c r="H8">
        <f>'IBNR Commercial Property'!F8+'IBNR Commercial Property'!G8+'IBNR Commercial Property'!E8*ULAEFactor+'IBNR Commercial Property'!D8*BulkReservePct</f>
        <v>0</v>
      </c>
    </row>
    <row r="9">
      <c r="A9">
        <v>2023</v>
      </c>
      <c r="B9">
        <f>'Tri Commercial Property'!D9</f>
        <v>0</v>
      </c>
      <c r="C9">
        <f>'DF Commercial Property'!D4</f>
        <v>0</v>
      </c>
      <c r="D9">
        <f>'IBNR Commercial Property'!B9*'IBNR Commercial Property'!C9</f>
        <v>0</v>
      </c>
      <c r="E9">
        <f>'IBNR Commercial Property'!D9-'IBNR Commercial Property'!B9</f>
        <v>0</v>
      </c>
      <c r="F9">
        <f>'IBNR Commercial Property'!E9/(1+DiscountRate)^2</f>
        <v>0</v>
      </c>
      <c r="G9">
        <f>'IBNR Commercial Property'!B9*CaseAdequacy*0.1</f>
        <v>0</v>
      </c>
      <c r="H9">
        <f>'IBNR Commercial Property'!F9+'IBNR Commercial Property'!G9+'IBNR Commercial Property'!E9*ULAEFactor+'IBNR Commercial Property'!D9*BulkReservePct</f>
        <v>0</v>
      </c>
    </row>
    <row r="10">
      <c r="A10">
        <v>2024</v>
      </c>
      <c r="B10">
        <f>'Tri Commercial Property'!C10</f>
        <v>0</v>
      </c>
      <c r="C10">
        <f>'DF Commercial Property'!D3</f>
        <v>0</v>
      </c>
      <c r="D10">
        <f>'IBNR Commercial Property'!B10*'IBNR Commercial Property'!C10</f>
        <v>0</v>
      </c>
      <c r="E10">
        <f>'IBNR Commercial Property'!D10-'IBNR Commercial Property'!B10</f>
        <v>0</v>
      </c>
      <c r="F10">
        <f>'IBNR Commercial Property'!E10/(1+DiscountRate)^1</f>
        <v>0</v>
      </c>
      <c r="G10">
        <f>'IBNR Commercial Property'!B10*CaseAdequacy*0.1</f>
        <v>0</v>
      </c>
      <c r="H10">
        <f>'IBNR Commercial Property'!F10+'IBNR Commercial Property'!G10+'IBNR Commercial Property'!E10*ULAEFactor+'IBNR Commercial Property'!D10*BulkReservePct</f>
        <v>0</v>
      </c>
    </row>
    <row r="11">
      <c r="A11">
        <v>2025</v>
      </c>
      <c r="B11">
        <f>'Tri Commercial Property'!B11</f>
        <v>0</v>
      </c>
      <c r="C11">
        <f>'DF Commercial Property'!D2</f>
        <v>0</v>
      </c>
      <c r="D11">
        <f>'IBNR Commercial Property'!B11*'IBNR Commercial Property'!C11</f>
        <v>0</v>
      </c>
      <c r="E11">
        <f>'IBNR Commercial Property'!D11-'IBNR Commercial Property'!B11</f>
        <v>0</v>
      </c>
      <c r="F11">
        <f>'IBNR Commercial Property'!E11/(1+DiscountRate)^1</f>
        <v>0</v>
      </c>
      <c r="G11">
        <f>'IBNR Commercial Property'!B11*CaseAdequacy*0.1</f>
        <v>0</v>
      </c>
      <c r="H11">
        <f>'IBNR Commercial Property'!F11+'IBNR Commercial Property'!G11+'IBNR Commercial Property'!E11*ULAEFactor+'IBNR Commercial Property'!D11*BulkReservePct</f>
        <v>0</v>
      </c>
    </row>
  </sheetData>
  <ignoredErrors>
    <ignoredError numberStoredAsText="1" sqref="A1:H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369921</v>
      </c>
      <c r="C2">
        <v>386551</v>
      </c>
      <c r="D2">
        <v>470175</v>
      </c>
      <c r="E2">
        <v>473146</v>
      </c>
      <c r="F2">
        <v>575778</v>
      </c>
      <c r="G2">
        <v>664784</v>
      </c>
      <c r="H2">
        <v>692775</v>
      </c>
      <c r="I2">
        <v>779563</v>
      </c>
      <c r="J2">
        <v>780488</v>
      </c>
      <c r="K2">
        <v>836367</v>
      </c>
    </row>
    <row r="3">
      <c r="A3">
        <v>2017</v>
      </c>
      <c r="B3">
        <v>391217</v>
      </c>
      <c r="C3">
        <v>396817</v>
      </c>
      <c r="D3">
        <v>464099</v>
      </c>
      <c r="E3">
        <v>479736</v>
      </c>
      <c r="F3">
        <v>567187</v>
      </c>
      <c r="G3">
        <v>593854</v>
      </c>
      <c r="H3">
        <v>633418</v>
      </c>
      <c r="I3">
        <v>702114</v>
      </c>
      <c r="J3">
        <v>742875</v>
      </c>
    </row>
    <row r="4">
      <c r="A4">
        <v>2018</v>
      </c>
      <c r="B4">
        <v>393570</v>
      </c>
      <c r="C4">
        <v>443686</v>
      </c>
      <c r="D4">
        <v>488462</v>
      </c>
      <c r="E4">
        <v>504250</v>
      </c>
      <c r="F4">
        <v>602810</v>
      </c>
      <c r="G4">
        <v>655207</v>
      </c>
      <c r="H4">
        <v>663079</v>
      </c>
      <c r="I4">
        <v>703588</v>
      </c>
    </row>
    <row r="5">
      <c r="A5">
        <v>2019</v>
      </c>
      <c r="B5">
        <v>389096</v>
      </c>
      <c r="C5">
        <v>446728</v>
      </c>
      <c r="D5">
        <v>446337</v>
      </c>
      <c r="E5">
        <v>577015</v>
      </c>
      <c r="F5">
        <v>650784</v>
      </c>
      <c r="G5">
        <v>602610</v>
      </c>
      <c r="H5">
        <v>742122</v>
      </c>
    </row>
    <row r="6">
      <c r="A6">
        <v>2020</v>
      </c>
      <c r="B6">
        <v>427070</v>
      </c>
      <c r="C6">
        <v>464097</v>
      </c>
      <c r="D6">
        <v>505167</v>
      </c>
      <c r="E6">
        <v>609255</v>
      </c>
      <c r="F6">
        <v>589054</v>
      </c>
      <c r="G6">
        <v>673364</v>
      </c>
    </row>
    <row r="7">
      <c r="A7">
        <v>2021</v>
      </c>
      <c r="B7">
        <v>389901</v>
      </c>
      <c r="C7">
        <v>423541</v>
      </c>
      <c r="D7">
        <v>514826</v>
      </c>
      <c r="E7">
        <v>635703</v>
      </c>
      <c r="F7">
        <v>696479</v>
      </c>
    </row>
    <row r="8">
      <c r="A8">
        <v>2022</v>
      </c>
      <c r="B8">
        <v>400232</v>
      </c>
      <c r="C8">
        <v>490330</v>
      </c>
      <c r="D8">
        <v>493890</v>
      </c>
      <c r="E8">
        <v>568029</v>
      </c>
    </row>
    <row r="9">
      <c r="A9">
        <v>2023</v>
      </c>
      <c r="B9">
        <v>446023</v>
      </c>
      <c r="C9">
        <v>457295</v>
      </c>
      <c r="D9">
        <v>537439</v>
      </c>
    </row>
    <row r="10">
      <c r="A10">
        <v>2024</v>
      </c>
      <c r="B10">
        <v>407850</v>
      </c>
      <c r="C10">
        <v>472216</v>
      </c>
    </row>
    <row r="11">
      <c r="A11">
        <v>2025</v>
      </c>
      <c r="B11">
        <v>413263</v>
      </c>
    </row>
  </sheetData>
  <ignoredErrors>
    <ignoredError numberStoredAsText="1" sqref="A1:K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Professional Liab'!C2/'Tri Professional Liab'!B2</f>
        <v>0</v>
      </c>
      <c r="C2">
        <f>'DF Professional Liab'!B2*CredThreshold+(1-CredThreshold)*1.05</f>
        <v>0</v>
      </c>
      <c r="D2">
        <f>'DF Professional Liab'!C2*'DF Professional Liab'!D3</f>
        <v>0</v>
      </c>
      <c r="E2">
        <f>'DF Professional Liab'!D2*TailFactor</f>
        <v>0</v>
      </c>
    </row>
    <row r="3">
      <c r="A3" t="str">
        <v>2-3</v>
      </c>
      <c r="B3">
        <f>'Tri Professional Liab'!D2/'Tri Professional Liab'!C2</f>
        <v>0</v>
      </c>
      <c r="C3">
        <f>'DF Professional Liab'!B3*CredThreshold+(1-CredThreshold)*1.05</f>
        <v>0</v>
      </c>
      <c r="D3">
        <f>'DF Professional Liab'!C3*'DF Professional Liab'!D4</f>
        <v>0</v>
      </c>
      <c r="E3">
        <f>'DF Professional Liab'!D3*TailFactor</f>
        <v>0</v>
      </c>
    </row>
    <row r="4">
      <c r="A4" t="str">
        <v>3-4</v>
      </c>
      <c r="B4">
        <f>'Tri Professional Liab'!E2/'Tri Professional Liab'!D2</f>
        <v>0</v>
      </c>
      <c r="C4">
        <f>'DF Professional Liab'!B4*CredThreshold+(1-CredThreshold)*1.05</f>
        <v>0</v>
      </c>
      <c r="D4">
        <f>'DF Professional Liab'!C4*'DF Professional Liab'!D5</f>
        <v>0</v>
      </c>
      <c r="E4">
        <f>'DF Professional Liab'!D4*TailFactor</f>
        <v>0</v>
      </c>
    </row>
    <row r="5">
      <c r="A5" t="str">
        <v>4-5</v>
      </c>
      <c r="B5">
        <f>'Tri Professional Liab'!F2/'Tri Professional Liab'!E2</f>
        <v>0</v>
      </c>
      <c r="C5">
        <f>'DF Professional Liab'!B5*CredThreshold+(1-CredThreshold)*1.05</f>
        <v>0</v>
      </c>
      <c r="D5">
        <f>'DF Professional Liab'!C5*'DF Professional Liab'!D6</f>
        <v>0</v>
      </c>
      <c r="E5">
        <f>'DF Professional Liab'!D5*TailFactor</f>
        <v>0</v>
      </c>
    </row>
    <row r="6">
      <c r="A6" t="str">
        <v>5-6</v>
      </c>
      <c r="B6">
        <f>'Tri Professional Liab'!G2/'Tri Professional Liab'!F2</f>
        <v>0</v>
      </c>
      <c r="C6">
        <f>'DF Professional Liab'!B6*CredThreshold+(1-CredThreshold)*1.05</f>
        <v>0</v>
      </c>
      <c r="D6">
        <f>'DF Professional Liab'!C6*'DF Professional Liab'!D7</f>
        <v>0</v>
      </c>
      <c r="E6">
        <f>'DF Professional Liab'!D6*TailFactor</f>
        <v>0</v>
      </c>
    </row>
    <row r="7">
      <c r="A7" t="str">
        <v>6-7</v>
      </c>
      <c r="B7">
        <f>'Tri Professional Liab'!H2/'Tri Professional Liab'!G2</f>
        <v>0</v>
      </c>
      <c r="C7">
        <f>'DF Professional Liab'!B7*CredThreshold+(1-CredThreshold)*1.05</f>
        <v>0</v>
      </c>
      <c r="D7">
        <f>'DF Professional Liab'!C7*'DF Professional Liab'!D8</f>
        <v>0</v>
      </c>
      <c r="E7">
        <f>'DF Professional Liab'!D7*TailFactor</f>
        <v>0</v>
      </c>
    </row>
    <row r="8">
      <c r="A8" t="str">
        <v>7-8</v>
      </c>
      <c r="B8">
        <f>'Tri Professional Liab'!I2/'Tri Professional Liab'!H2</f>
        <v>0</v>
      </c>
      <c r="C8">
        <f>'DF Professional Liab'!B8*CredThreshold+(1-CredThreshold)*1.05</f>
        <v>0</v>
      </c>
      <c r="D8">
        <f>'DF Professional Liab'!C8*'DF Professional Liab'!D9</f>
        <v>0</v>
      </c>
      <c r="E8">
        <f>'DF Professional Liab'!D8*TailFactor</f>
        <v>0</v>
      </c>
    </row>
    <row r="9">
      <c r="A9" t="str">
        <v>8-9</v>
      </c>
      <c r="B9">
        <f>'Tri Professional Liab'!J2/'Tri Professional Liab'!I2</f>
        <v>0</v>
      </c>
      <c r="C9">
        <f>'DF Professional Liab'!B9*CredThreshold+(1-CredThreshold)*1.05</f>
        <v>0</v>
      </c>
      <c r="D9">
        <f>'DF Professional Liab'!C9*'DF Professional Liab'!D10</f>
        <v>0</v>
      </c>
      <c r="E9">
        <f>'DF Professional Liab'!D9*TailFactor</f>
        <v>0</v>
      </c>
    </row>
    <row r="10">
      <c r="A10" t="str">
        <v>9-10</v>
      </c>
      <c r="B10">
        <f>'Tri Professional Liab'!K2/'Tri Professional Liab'!J2</f>
        <v>0</v>
      </c>
      <c r="C10">
        <f>'DF Professional Liab'!B10*CredThreshold+(1-CredThreshold)*1.05</f>
        <v>0</v>
      </c>
      <c r="D10">
        <f>'DF Professional Liab'!C10*TailFactor</f>
        <v>0</v>
      </c>
      <c r="E10">
        <f>'DF Professional Liab'!D10*TailFactor</f>
        <v>0</v>
      </c>
    </row>
  </sheetData>
  <ignoredErrors>
    <ignoredError numberStoredAsText="1" sqref="A1:E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Professional Liab'!K2</f>
        <v>0</v>
      </c>
      <c r="C2">
        <f>TailFactor</f>
        <v>0</v>
      </c>
      <c r="D2">
        <f>'IBNR Professional Liab'!B2*'IBNR Professional Liab'!C2</f>
        <v>0</v>
      </c>
      <c r="E2">
        <f>'IBNR Professional Liab'!D2-'IBNR Professional Liab'!B2</f>
        <v>0</v>
      </c>
      <c r="F2">
        <f>'IBNR Professional Liab'!E2/(1+DiscountRate)^5</f>
        <v>0</v>
      </c>
      <c r="G2">
        <f>'IBNR Professional Liab'!B2*CaseAdequacy*0.1</f>
        <v>0</v>
      </c>
      <c r="H2">
        <f>'IBNR Professional Liab'!F2+'IBNR Professional Liab'!G2+'IBNR Professional Liab'!E2*ULAEFactor+'IBNR Professional Liab'!D2*BulkReservePct</f>
        <v>0</v>
      </c>
    </row>
    <row r="3">
      <c r="A3">
        <v>2017</v>
      </c>
      <c r="B3">
        <f>'Tri Professional Liab'!J3</f>
        <v>0</v>
      </c>
      <c r="C3">
        <f>'DF Professional Liab'!D10</f>
        <v>0</v>
      </c>
      <c r="D3">
        <f>'IBNR Professional Liab'!B3*'IBNR Professional Liab'!C3</f>
        <v>0</v>
      </c>
      <c r="E3">
        <f>'IBNR Professional Liab'!D3-'IBNR Professional Liab'!B3</f>
        <v>0</v>
      </c>
      <c r="F3">
        <f>'IBNR Professional Liab'!E3/(1+DiscountRate)^5</f>
        <v>0</v>
      </c>
      <c r="G3">
        <f>'IBNR Professional Liab'!B3*CaseAdequacy*0.1</f>
        <v>0</v>
      </c>
      <c r="H3">
        <f>'IBNR Professional Liab'!F3+'IBNR Professional Liab'!G3+'IBNR Professional Liab'!E3*ULAEFactor+'IBNR Professional Liab'!D3*BulkReservePct</f>
        <v>0</v>
      </c>
    </row>
    <row r="4">
      <c r="A4">
        <v>2018</v>
      </c>
      <c r="B4">
        <f>'Tri Professional Liab'!I4</f>
        <v>0</v>
      </c>
      <c r="C4">
        <f>'DF Professional Liab'!D9</f>
        <v>0</v>
      </c>
      <c r="D4">
        <f>'IBNR Professional Liab'!B4*'IBNR Professional Liab'!C4</f>
        <v>0</v>
      </c>
      <c r="E4">
        <f>'IBNR Professional Liab'!D4-'IBNR Professional Liab'!B4</f>
        <v>0</v>
      </c>
      <c r="F4">
        <f>'IBNR Professional Liab'!E4/(1+DiscountRate)^4</f>
        <v>0</v>
      </c>
      <c r="G4">
        <f>'IBNR Professional Liab'!B4*CaseAdequacy*0.1</f>
        <v>0</v>
      </c>
      <c r="H4">
        <f>'IBNR Professional Liab'!F4+'IBNR Professional Liab'!G4+'IBNR Professional Liab'!E4*ULAEFactor+'IBNR Professional Liab'!D4*BulkReservePct</f>
        <v>0</v>
      </c>
    </row>
    <row r="5">
      <c r="A5">
        <v>2019</v>
      </c>
      <c r="B5">
        <f>'Tri Professional Liab'!H5</f>
        <v>0</v>
      </c>
      <c r="C5">
        <f>'DF Professional Liab'!D8</f>
        <v>0</v>
      </c>
      <c r="D5">
        <f>'IBNR Professional Liab'!B5*'IBNR Professional Liab'!C5</f>
        <v>0</v>
      </c>
      <c r="E5">
        <f>'IBNR Professional Liab'!D5-'IBNR Professional Liab'!B5</f>
        <v>0</v>
      </c>
      <c r="F5">
        <f>'IBNR Professional Liab'!E5/(1+DiscountRate)^4</f>
        <v>0</v>
      </c>
      <c r="G5">
        <f>'IBNR Professional Liab'!B5*CaseAdequacy*0.1</f>
        <v>0</v>
      </c>
      <c r="H5">
        <f>'IBNR Professional Liab'!F5+'IBNR Professional Liab'!G5+'IBNR Professional Liab'!E5*ULAEFactor+'IBNR Professional Liab'!D5*BulkReservePct</f>
        <v>0</v>
      </c>
    </row>
    <row r="6">
      <c r="A6">
        <v>2020</v>
      </c>
      <c r="B6">
        <f>'Tri Professional Liab'!G6</f>
        <v>0</v>
      </c>
      <c r="C6">
        <f>'DF Professional Liab'!D7</f>
        <v>0</v>
      </c>
      <c r="D6">
        <f>'IBNR Professional Liab'!B6*'IBNR Professional Liab'!C6</f>
        <v>0</v>
      </c>
      <c r="E6">
        <f>'IBNR Professional Liab'!D6-'IBNR Professional Liab'!B6</f>
        <v>0</v>
      </c>
      <c r="F6">
        <f>'IBNR Professional Liab'!E6/(1+DiscountRate)^3</f>
        <v>0</v>
      </c>
      <c r="G6">
        <f>'IBNR Professional Liab'!B6*CaseAdequacy*0.1</f>
        <v>0</v>
      </c>
      <c r="H6">
        <f>'IBNR Professional Liab'!F6+'IBNR Professional Liab'!G6+'IBNR Professional Liab'!E6*ULAEFactor+'IBNR Professional Liab'!D6*BulkReservePct</f>
        <v>0</v>
      </c>
    </row>
    <row r="7">
      <c r="A7">
        <v>2021</v>
      </c>
      <c r="B7">
        <f>'Tri Professional Liab'!F7</f>
        <v>0</v>
      </c>
      <c r="C7">
        <f>'DF Professional Liab'!D6</f>
        <v>0</v>
      </c>
      <c r="D7">
        <f>'IBNR Professional Liab'!B7*'IBNR Professional Liab'!C7</f>
        <v>0</v>
      </c>
      <c r="E7">
        <f>'IBNR Professional Liab'!D7-'IBNR Professional Liab'!B7</f>
        <v>0</v>
      </c>
      <c r="F7">
        <f>'IBNR Professional Liab'!E7/(1+DiscountRate)^3</f>
        <v>0</v>
      </c>
      <c r="G7">
        <f>'IBNR Professional Liab'!B7*CaseAdequacy*0.1</f>
        <v>0</v>
      </c>
      <c r="H7">
        <f>'IBNR Professional Liab'!F7+'IBNR Professional Liab'!G7+'IBNR Professional Liab'!E7*ULAEFactor+'IBNR Professional Liab'!D7*BulkReservePct</f>
        <v>0</v>
      </c>
    </row>
    <row r="8">
      <c r="A8">
        <v>2022</v>
      </c>
      <c r="B8">
        <f>'Tri Professional Liab'!E8</f>
        <v>0</v>
      </c>
      <c r="C8">
        <f>'DF Professional Liab'!D5</f>
        <v>0</v>
      </c>
      <c r="D8">
        <f>'IBNR Professional Liab'!B8*'IBNR Professional Liab'!C8</f>
        <v>0</v>
      </c>
      <c r="E8">
        <f>'IBNR Professional Liab'!D8-'IBNR Professional Liab'!B8</f>
        <v>0</v>
      </c>
      <c r="F8">
        <f>'IBNR Professional Liab'!E8/(1+DiscountRate)^2</f>
        <v>0</v>
      </c>
      <c r="G8">
        <f>'IBNR Professional Liab'!B8*CaseAdequacy*0.1</f>
        <v>0</v>
      </c>
      <c r="H8">
        <f>'IBNR Professional Liab'!F8+'IBNR Professional Liab'!G8+'IBNR Professional Liab'!E8*ULAEFactor+'IBNR Professional Liab'!D8*BulkReservePct</f>
        <v>0</v>
      </c>
    </row>
    <row r="9">
      <c r="A9">
        <v>2023</v>
      </c>
      <c r="B9">
        <f>'Tri Professional Liab'!D9</f>
        <v>0</v>
      </c>
      <c r="C9">
        <f>'DF Professional Liab'!D4</f>
        <v>0</v>
      </c>
      <c r="D9">
        <f>'IBNR Professional Liab'!B9*'IBNR Professional Liab'!C9</f>
        <v>0</v>
      </c>
      <c r="E9">
        <f>'IBNR Professional Liab'!D9-'IBNR Professional Liab'!B9</f>
        <v>0</v>
      </c>
      <c r="F9">
        <f>'IBNR Professional Liab'!E9/(1+DiscountRate)^2</f>
        <v>0</v>
      </c>
      <c r="G9">
        <f>'IBNR Professional Liab'!B9*CaseAdequacy*0.1</f>
        <v>0</v>
      </c>
      <c r="H9">
        <f>'IBNR Professional Liab'!F9+'IBNR Professional Liab'!G9+'IBNR Professional Liab'!E9*ULAEFactor+'IBNR Professional Liab'!D9*BulkReservePct</f>
        <v>0</v>
      </c>
    </row>
    <row r="10">
      <c r="A10">
        <v>2024</v>
      </c>
      <c r="B10">
        <f>'Tri Professional Liab'!C10</f>
        <v>0</v>
      </c>
      <c r="C10">
        <f>'DF Professional Liab'!D3</f>
        <v>0</v>
      </c>
      <c r="D10">
        <f>'IBNR Professional Liab'!B10*'IBNR Professional Liab'!C10</f>
        <v>0</v>
      </c>
      <c r="E10">
        <f>'IBNR Professional Liab'!D10-'IBNR Professional Liab'!B10</f>
        <v>0</v>
      </c>
      <c r="F10">
        <f>'IBNR Professional Liab'!E10/(1+DiscountRate)^1</f>
        <v>0</v>
      </c>
      <c r="G10">
        <f>'IBNR Professional Liab'!B10*CaseAdequacy*0.1</f>
        <v>0</v>
      </c>
      <c r="H10">
        <f>'IBNR Professional Liab'!F10+'IBNR Professional Liab'!G10+'IBNR Professional Liab'!E10*ULAEFactor+'IBNR Professional Liab'!D10*BulkReservePct</f>
        <v>0</v>
      </c>
    </row>
    <row r="11">
      <c r="A11">
        <v>2025</v>
      </c>
      <c r="B11">
        <f>'Tri Professional Liab'!B11</f>
        <v>0</v>
      </c>
      <c r="C11">
        <f>'DF Professional Liab'!D2</f>
        <v>0</v>
      </c>
      <c r="D11">
        <f>'IBNR Professional Liab'!B11*'IBNR Professional Liab'!C11</f>
        <v>0</v>
      </c>
      <c r="E11">
        <f>'IBNR Professional Liab'!D11-'IBNR Professional Liab'!B11</f>
        <v>0</v>
      </c>
      <c r="F11">
        <f>'IBNR Professional Liab'!E11/(1+DiscountRate)^1</f>
        <v>0</v>
      </c>
      <c r="G11">
        <f>'IBNR Professional Liab'!B11*CaseAdequacy*0.1</f>
        <v>0</v>
      </c>
      <c r="H11">
        <f>'IBNR Professional Liab'!F11+'IBNR Professional Liab'!G11+'IBNR Professional Liab'!E11*ULAEFactor+'IBNR Professional Liab'!D11*BulkReservePct</f>
        <v>0</v>
      </c>
    </row>
  </sheetData>
  <ignoredErrors>
    <ignoredError numberStoredAsText="1" sqref="A1:H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378907</v>
      </c>
      <c r="C2">
        <v>471698</v>
      </c>
      <c r="D2">
        <v>517283</v>
      </c>
      <c r="E2">
        <v>549045</v>
      </c>
      <c r="F2">
        <v>601392</v>
      </c>
      <c r="G2">
        <v>668145</v>
      </c>
      <c r="H2">
        <v>685456</v>
      </c>
      <c r="I2">
        <v>882598</v>
      </c>
      <c r="J2">
        <v>941517</v>
      </c>
      <c r="K2">
        <v>961511</v>
      </c>
    </row>
    <row r="3">
      <c r="A3">
        <v>2017</v>
      </c>
      <c r="B3">
        <v>432414</v>
      </c>
      <c r="C3">
        <v>469674</v>
      </c>
      <c r="D3">
        <v>487985</v>
      </c>
      <c r="E3">
        <v>536860</v>
      </c>
      <c r="F3">
        <v>641993</v>
      </c>
      <c r="G3">
        <v>778509</v>
      </c>
      <c r="H3">
        <v>799371</v>
      </c>
      <c r="I3">
        <v>861619</v>
      </c>
      <c r="J3">
        <v>864837</v>
      </c>
    </row>
    <row r="4">
      <c r="A4">
        <v>2018</v>
      </c>
      <c r="B4">
        <v>439359</v>
      </c>
      <c r="C4">
        <v>452680</v>
      </c>
      <c r="D4">
        <v>591349</v>
      </c>
      <c r="E4">
        <v>639864</v>
      </c>
      <c r="F4">
        <v>629395</v>
      </c>
      <c r="G4">
        <v>732168</v>
      </c>
      <c r="H4">
        <v>848679</v>
      </c>
      <c r="I4">
        <v>904098</v>
      </c>
    </row>
    <row r="5">
      <c r="A5">
        <v>2019</v>
      </c>
      <c r="B5">
        <v>424681</v>
      </c>
      <c r="C5">
        <v>532899</v>
      </c>
      <c r="D5">
        <v>511060</v>
      </c>
      <c r="E5">
        <v>630666</v>
      </c>
      <c r="F5">
        <v>697432</v>
      </c>
      <c r="G5">
        <v>757116</v>
      </c>
      <c r="H5">
        <v>798694</v>
      </c>
    </row>
    <row r="6">
      <c r="A6">
        <v>2020</v>
      </c>
      <c r="B6">
        <v>418140</v>
      </c>
      <c r="C6">
        <v>545821</v>
      </c>
      <c r="D6">
        <v>601640</v>
      </c>
      <c r="E6">
        <v>656547</v>
      </c>
      <c r="F6">
        <v>737935</v>
      </c>
      <c r="G6">
        <v>752357</v>
      </c>
    </row>
    <row r="7">
      <c r="A7">
        <v>2021</v>
      </c>
      <c r="B7">
        <v>419563</v>
      </c>
      <c r="C7">
        <v>514579</v>
      </c>
      <c r="D7">
        <v>587208</v>
      </c>
      <c r="E7">
        <v>632841</v>
      </c>
      <c r="F7">
        <v>656905</v>
      </c>
    </row>
    <row r="8">
      <c r="A8">
        <v>2022</v>
      </c>
      <c r="B8">
        <v>461019</v>
      </c>
      <c r="C8">
        <v>521415</v>
      </c>
      <c r="D8">
        <v>561588</v>
      </c>
      <c r="E8">
        <v>716335</v>
      </c>
    </row>
    <row r="9">
      <c r="A9">
        <v>2023</v>
      </c>
      <c r="B9">
        <v>457623</v>
      </c>
      <c r="C9">
        <v>586474</v>
      </c>
      <c r="D9">
        <v>576166</v>
      </c>
    </row>
    <row r="10">
      <c r="A10">
        <v>2024</v>
      </c>
      <c r="B10">
        <v>461831</v>
      </c>
      <c r="C10">
        <v>593189</v>
      </c>
    </row>
    <row r="11">
      <c r="A11">
        <v>2025</v>
      </c>
      <c r="B11">
        <v>453165</v>
      </c>
    </row>
  </sheetData>
  <ignoredErrors>
    <ignoredError numberStoredAsText="1" sqref="A1:K1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Umbrella'!C2/'Tri Umbrella'!B2</f>
        <v>0</v>
      </c>
      <c r="C2">
        <f>'DF Umbrella'!B2*CredThreshold+(1-CredThreshold)*1.05</f>
        <v>0</v>
      </c>
      <c r="D2">
        <f>'DF Umbrella'!C2*'DF Umbrella'!D3</f>
        <v>0</v>
      </c>
      <c r="E2">
        <f>'DF Umbrella'!D2*TailFactor</f>
        <v>0</v>
      </c>
    </row>
    <row r="3">
      <c r="A3" t="str">
        <v>2-3</v>
      </c>
      <c r="B3">
        <f>'Tri Umbrella'!D2/'Tri Umbrella'!C2</f>
        <v>0</v>
      </c>
      <c r="C3">
        <f>'DF Umbrella'!B3*CredThreshold+(1-CredThreshold)*1.05</f>
        <v>0</v>
      </c>
      <c r="D3">
        <f>'DF Umbrella'!C3*'DF Umbrella'!D4</f>
        <v>0</v>
      </c>
      <c r="E3">
        <f>'DF Umbrella'!D3*TailFactor</f>
        <v>0</v>
      </c>
    </row>
    <row r="4">
      <c r="A4" t="str">
        <v>3-4</v>
      </c>
      <c r="B4">
        <f>'Tri Umbrella'!E2/'Tri Umbrella'!D2</f>
        <v>0</v>
      </c>
      <c r="C4">
        <f>'DF Umbrella'!B4*CredThreshold+(1-CredThreshold)*1.05</f>
        <v>0</v>
      </c>
      <c r="D4">
        <f>'DF Umbrella'!C4*'DF Umbrella'!D5</f>
        <v>0</v>
      </c>
      <c r="E4">
        <f>'DF Umbrella'!D4*TailFactor</f>
        <v>0</v>
      </c>
    </row>
    <row r="5">
      <c r="A5" t="str">
        <v>4-5</v>
      </c>
      <c r="B5">
        <f>'Tri Umbrella'!F2/'Tri Umbrella'!E2</f>
        <v>0</v>
      </c>
      <c r="C5">
        <f>'DF Umbrella'!B5*CredThreshold+(1-CredThreshold)*1.05</f>
        <v>0</v>
      </c>
      <c r="D5">
        <f>'DF Umbrella'!C5*'DF Umbrella'!D6</f>
        <v>0</v>
      </c>
      <c r="E5">
        <f>'DF Umbrella'!D5*TailFactor</f>
        <v>0</v>
      </c>
    </row>
    <row r="6">
      <c r="A6" t="str">
        <v>5-6</v>
      </c>
      <c r="B6">
        <f>'Tri Umbrella'!G2/'Tri Umbrella'!F2</f>
        <v>0</v>
      </c>
      <c r="C6">
        <f>'DF Umbrella'!B6*CredThreshold+(1-CredThreshold)*1.05</f>
        <v>0</v>
      </c>
      <c r="D6">
        <f>'DF Umbrella'!C6*'DF Umbrella'!D7</f>
        <v>0</v>
      </c>
      <c r="E6">
        <f>'DF Umbrella'!D6*TailFactor</f>
        <v>0</v>
      </c>
    </row>
    <row r="7">
      <c r="A7" t="str">
        <v>6-7</v>
      </c>
      <c r="B7">
        <f>'Tri Umbrella'!H2/'Tri Umbrella'!G2</f>
        <v>0</v>
      </c>
      <c r="C7">
        <f>'DF Umbrella'!B7*CredThreshold+(1-CredThreshold)*1.05</f>
        <v>0</v>
      </c>
      <c r="D7">
        <f>'DF Umbrella'!C7*'DF Umbrella'!D8</f>
        <v>0</v>
      </c>
      <c r="E7">
        <f>'DF Umbrella'!D7*TailFactor</f>
        <v>0</v>
      </c>
    </row>
    <row r="8">
      <c r="A8" t="str">
        <v>7-8</v>
      </c>
      <c r="B8">
        <f>'Tri Umbrella'!I2/'Tri Umbrella'!H2</f>
        <v>0</v>
      </c>
      <c r="C8">
        <f>'DF Umbrella'!B8*CredThreshold+(1-CredThreshold)*1.05</f>
        <v>0</v>
      </c>
      <c r="D8">
        <f>'DF Umbrella'!C8*'DF Umbrella'!D9</f>
        <v>0</v>
      </c>
      <c r="E8">
        <f>'DF Umbrella'!D8*TailFactor</f>
        <v>0</v>
      </c>
    </row>
    <row r="9">
      <c r="A9" t="str">
        <v>8-9</v>
      </c>
      <c r="B9">
        <f>'Tri Umbrella'!J2/'Tri Umbrella'!I2</f>
        <v>0</v>
      </c>
      <c r="C9">
        <f>'DF Umbrella'!B9*CredThreshold+(1-CredThreshold)*1.05</f>
        <v>0</v>
      </c>
      <c r="D9">
        <f>'DF Umbrella'!C9*'DF Umbrella'!D10</f>
        <v>0</v>
      </c>
      <c r="E9">
        <f>'DF Umbrella'!D9*TailFactor</f>
        <v>0</v>
      </c>
    </row>
    <row r="10">
      <c r="A10" t="str">
        <v>9-10</v>
      </c>
      <c r="B10">
        <f>'Tri Umbrella'!K2/'Tri Umbrella'!J2</f>
        <v>0</v>
      </c>
      <c r="C10">
        <f>'DF Umbrella'!B10*CredThreshold+(1-CredThreshold)*1.05</f>
        <v>0</v>
      </c>
      <c r="D10">
        <f>'DF Umbrella'!C10*TailFactor</f>
        <v>0</v>
      </c>
      <c r="E10">
        <f>'DF Umbrella'!D10*TailFactor</f>
        <v>0</v>
      </c>
    </row>
  </sheetData>
  <ignoredErrors>
    <ignoredError numberStoredAsText="1" sqref="A1:E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Umbrella'!K2</f>
        <v>0</v>
      </c>
      <c r="C2">
        <f>TailFactor</f>
        <v>0</v>
      </c>
      <c r="D2">
        <f>'IBNR Umbrella'!B2*'IBNR Umbrella'!C2</f>
        <v>0</v>
      </c>
      <c r="E2">
        <f>'IBNR Umbrella'!D2-'IBNR Umbrella'!B2</f>
        <v>0</v>
      </c>
      <c r="F2">
        <f>'IBNR Umbrella'!E2/(1+DiscountRate)^5</f>
        <v>0</v>
      </c>
      <c r="G2">
        <f>'IBNR Umbrella'!B2*CaseAdequacy*0.1</f>
        <v>0</v>
      </c>
      <c r="H2">
        <f>'IBNR Umbrella'!F2+'IBNR Umbrella'!G2+'IBNR Umbrella'!E2*ULAEFactor+'IBNR Umbrella'!D2*BulkReservePct</f>
        <v>0</v>
      </c>
    </row>
    <row r="3">
      <c r="A3">
        <v>2017</v>
      </c>
      <c r="B3">
        <f>'Tri Umbrella'!J3</f>
        <v>0</v>
      </c>
      <c r="C3">
        <f>'DF Umbrella'!D10</f>
        <v>0</v>
      </c>
      <c r="D3">
        <f>'IBNR Umbrella'!B3*'IBNR Umbrella'!C3</f>
        <v>0</v>
      </c>
      <c r="E3">
        <f>'IBNR Umbrella'!D3-'IBNR Umbrella'!B3</f>
        <v>0</v>
      </c>
      <c r="F3">
        <f>'IBNR Umbrella'!E3/(1+DiscountRate)^5</f>
        <v>0</v>
      </c>
      <c r="G3">
        <f>'IBNR Umbrella'!B3*CaseAdequacy*0.1</f>
        <v>0</v>
      </c>
      <c r="H3">
        <f>'IBNR Umbrella'!F3+'IBNR Umbrella'!G3+'IBNR Umbrella'!E3*ULAEFactor+'IBNR Umbrella'!D3*BulkReservePct</f>
        <v>0</v>
      </c>
    </row>
    <row r="4">
      <c r="A4">
        <v>2018</v>
      </c>
      <c r="B4">
        <f>'Tri Umbrella'!I4</f>
        <v>0</v>
      </c>
      <c r="C4">
        <f>'DF Umbrella'!D9</f>
        <v>0</v>
      </c>
      <c r="D4">
        <f>'IBNR Umbrella'!B4*'IBNR Umbrella'!C4</f>
        <v>0</v>
      </c>
      <c r="E4">
        <f>'IBNR Umbrella'!D4-'IBNR Umbrella'!B4</f>
        <v>0</v>
      </c>
      <c r="F4">
        <f>'IBNR Umbrella'!E4/(1+DiscountRate)^4</f>
        <v>0</v>
      </c>
      <c r="G4">
        <f>'IBNR Umbrella'!B4*CaseAdequacy*0.1</f>
        <v>0</v>
      </c>
      <c r="H4">
        <f>'IBNR Umbrella'!F4+'IBNR Umbrella'!G4+'IBNR Umbrella'!E4*ULAEFactor+'IBNR Umbrella'!D4*BulkReservePct</f>
        <v>0</v>
      </c>
    </row>
    <row r="5">
      <c r="A5">
        <v>2019</v>
      </c>
      <c r="B5">
        <f>'Tri Umbrella'!H5</f>
        <v>0</v>
      </c>
      <c r="C5">
        <f>'DF Umbrella'!D8</f>
        <v>0</v>
      </c>
      <c r="D5">
        <f>'IBNR Umbrella'!B5*'IBNR Umbrella'!C5</f>
        <v>0</v>
      </c>
      <c r="E5">
        <f>'IBNR Umbrella'!D5-'IBNR Umbrella'!B5</f>
        <v>0</v>
      </c>
      <c r="F5">
        <f>'IBNR Umbrella'!E5/(1+DiscountRate)^4</f>
        <v>0</v>
      </c>
      <c r="G5">
        <f>'IBNR Umbrella'!B5*CaseAdequacy*0.1</f>
        <v>0</v>
      </c>
      <c r="H5">
        <f>'IBNR Umbrella'!F5+'IBNR Umbrella'!G5+'IBNR Umbrella'!E5*ULAEFactor+'IBNR Umbrella'!D5*BulkReservePct</f>
        <v>0</v>
      </c>
    </row>
    <row r="6">
      <c r="A6">
        <v>2020</v>
      </c>
      <c r="B6">
        <f>'Tri Umbrella'!G6</f>
        <v>0</v>
      </c>
      <c r="C6">
        <f>'DF Umbrella'!D7</f>
        <v>0</v>
      </c>
      <c r="D6">
        <f>'IBNR Umbrella'!B6*'IBNR Umbrella'!C6</f>
        <v>0</v>
      </c>
      <c r="E6">
        <f>'IBNR Umbrella'!D6-'IBNR Umbrella'!B6</f>
        <v>0</v>
      </c>
      <c r="F6">
        <f>'IBNR Umbrella'!E6/(1+DiscountRate)^3</f>
        <v>0</v>
      </c>
      <c r="G6">
        <f>'IBNR Umbrella'!B6*CaseAdequacy*0.1</f>
        <v>0</v>
      </c>
      <c r="H6">
        <f>'IBNR Umbrella'!F6+'IBNR Umbrella'!G6+'IBNR Umbrella'!E6*ULAEFactor+'IBNR Umbrella'!D6*BulkReservePct</f>
        <v>0</v>
      </c>
    </row>
    <row r="7">
      <c r="A7">
        <v>2021</v>
      </c>
      <c r="B7">
        <f>'Tri Umbrella'!F7</f>
        <v>0</v>
      </c>
      <c r="C7">
        <f>'DF Umbrella'!D6</f>
        <v>0</v>
      </c>
      <c r="D7">
        <f>'IBNR Umbrella'!B7*'IBNR Umbrella'!C7</f>
        <v>0</v>
      </c>
      <c r="E7">
        <f>'IBNR Umbrella'!D7-'IBNR Umbrella'!B7</f>
        <v>0</v>
      </c>
      <c r="F7">
        <f>'IBNR Umbrella'!E7/(1+DiscountRate)^3</f>
        <v>0</v>
      </c>
      <c r="G7">
        <f>'IBNR Umbrella'!B7*CaseAdequacy*0.1</f>
        <v>0</v>
      </c>
      <c r="H7">
        <f>'IBNR Umbrella'!F7+'IBNR Umbrella'!G7+'IBNR Umbrella'!E7*ULAEFactor+'IBNR Umbrella'!D7*BulkReservePct</f>
        <v>0</v>
      </c>
    </row>
    <row r="8">
      <c r="A8">
        <v>2022</v>
      </c>
      <c r="B8">
        <f>'Tri Umbrella'!E8</f>
        <v>0</v>
      </c>
      <c r="C8">
        <f>'DF Umbrella'!D5</f>
        <v>0</v>
      </c>
      <c r="D8">
        <f>'IBNR Umbrella'!B8*'IBNR Umbrella'!C8</f>
        <v>0</v>
      </c>
      <c r="E8">
        <f>'IBNR Umbrella'!D8-'IBNR Umbrella'!B8</f>
        <v>0</v>
      </c>
      <c r="F8">
        <f>'IBNR Umbrella'!E8/(1+DiscountRate)^2</f>
        <v>0</v>
      </c>
      <c r="G8">
        <f>'IBNR Umbrella'!B8*CaseAdequacy*0.1</f>
        <v>0</v>
      </c>
      <c r="H8">
        <f>'IBNR Umbrella'!F8+'IBNR Umbrella'!G8+'IBNR Umbrella'!E8*ULAEFactor+'IBNR Umbrella'!D8*BulkReservePct</f>
        <v>0</v>
      </c>
    </row>
    <row r="9">
      <c r="A9">
        <v>2023</v>
      </c>
      <c r="B9">
        <f>'Tri Umbrella'!D9</f>
        <v>0</v>
      </c>
      <c r="C9">
        <f>'DF Umbrella'!D4</f>
        <v>0</v>
      </c>
      <c r="D9">
        <f>'IBNR Umbrella'!B9*'IBNR Umbrella'!C9</f>
        <v>0</v>
      </c>
      <c r="E9">
        <f>'IBNR Umbrella'!D9-'IBNR Umbrella'!B9</f>
        <v>0</v>
      </c>
      <c r="F9">
        <f>'IBNR Umbrella'!E9/(1+DiscountRate)^2</f>
        <v>0</v>
      </c>
      <c r="G9">
        <f>'IBNR Umbrella'!B9*CaseAdequacy*0.1</f>
        <v>0</v>
      </c>
      <c r="H9">
        <f>'IBNR Umbrella'!F9+'IBNR Umbrella'!G9+'IBNR Umbrella'!E9*ULAEFactor+'IBNR Umbrella'!D9*BulkReservePct</f>
        <v>0</v>
      </c>
    </row>
    <row r="10">
      <c r="A10">
        <v>2024</v>
      </c>
      <c r="B10">
        <f>'Tri Umbrella'!C10</f>
        <v>0</v>
      </c>
      <c r="C10">
        <f>'DF Umbrella'!D3</f>
        <v>0</v>
      </c>
      <c r="D10">
        <f>'IBNR Umbrella'!B10*'IBNR Umbrella'!C10</f>
        <v>0</v>
      </c>
      <c r="E10">
        <f>'IBNR Umbrella'!D10-'IBNR Umbrella'!B10</f>
        <v>0</v>
      </c>
      <c r="F10">
        <f>'IBNR Umbrella'!E10/(1+DiscountRate)^1</f>
        <v>0</v>
      </c>
      <c r="G10">
        <f>'IBNR Umbrella'!B10*CaseAdequacy*0.1</f>
        <v>0</v>
      </c>
      <c r="H10">
        <f>'IBNR Umbrella'!F10+'IBNR Umbrella'!G10+'IBNR Umbrella'!E10*ULAEFactor+'IBNR Umbrella'!D10*BulkReservePct</f>
        <v>0</v>
      </c>
    </row>
    <row r="11">
      <c r="A11">
        <v>2025</v>
      </c>
      <c r="B11">
        <f>'Tri Umbrella'!B11</f>
        <v>0</v>
      </c>
      <c r="C11">
        <f>'DF Umbrella'!D2</f>
        <v>0</v>
      </c>
      <c r="D11">
        <f>'IBNR Umbrella'!B11*'IBNR Umbrella'!C11</f>
        <v>0</v>
      </c>
      <c r="E11">
        <f>'IBNR Umbrella'!D11-'IBNR Umbrella'!B11</f>
        <v>0</v>
      </c>
      <c r="F11">
        <f>'IBNR Umbrella'!E11/(1+DiscountRate)^1</f>
        <v>0</v>
      </c>
      <c r="G11">
        <f>'IBNR Umbrella'!B11*CaseAdequacy*0.1</f>
        <v>0</v>
      </c>
      <c r="H11">
        <f>'IBNR Umbrella'!F11+'IBNR Umbrella'!G11+'IBNR Umbrella'!E11*ULAEFactor+'IBNR Umbrella'!D11*BulkReservePct</f>
        <v>0</v>
      </c>
    </row>
  </sheetData>
  <ignoredErrors>
    <ignoredError numberStoredAsText="1" sqref="A1:H1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AY \ Dev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>
        <v>2016</v>
      </c>
      <c r="B2">
        <v>409887</v>
      </c>
      <c r="C2">
        <v>485223</v>
      </c>
      <c r="D2">
        <v>594600</v>
      </c>
      <c r="E2">
        <v>599126</v>
      </c>
      <c r="F2">
        <v>692724</v>
      </c>
      <c r="G2">
        <v>798853</v>
      </c>
      <c r="H2">
        <v>804474</v>
      </c>
      <c r="I2">
        <v>1010461</v>
      </c>
      <c r="J2">
        <v>922160</v>
      </c>
      <c r="K2">
        <v>1082003</v>
      </c>
    </row>
    <row r="3">
      <c r="A3">
        <v>2017</v>
      </c>
      <c r="B3">
        <v>452947</v>
      </c>
      <c r="C3">
        <v>511542</v>
      </c>
      <c r="D3">
        <v>647505</v>
      </c>
      <c r="E3">
        <v>607798</v>
      </c>
      <c r="F3">
        <v>778016</v>
      </c>
      <c r="G3">
        <v>726514</v>
      </c>
      <c r="H3">
        <v>845935</v>
      </c>
      <c r="I3">
        <v>881753</v>
      </c>
      <c r="J3">
        <v>1033502</v>
      </c>
    </row>
    <row r="4">
      <c r="A4">
        <v>2018</v>
      </c>
      <c r="B4">
        <v>494209</v>
      </c>
      <c r="C4">
        <v>522268</v>
      </c>
      <c r="D4">
        <v>586219</v>
      </c>
      <c r="E4">
        <v>699841</v>
      </c>
      <c r="F4">
        <v>716518</v>
      </c>
      <c r="G4">
        <v>816299</v>
      </c>
      <c r="H4">
        <v>932569</v>
      </c>
      <c r="I4">
        <v>972624</v>
      </c>
    </row>
    <row r="5">
      <c r="A5">
        <v>2019</v>
      </c>
      <c r="B5">
        <v>462939</v>
      </c>
      <c r="C5">
        <v>550975</v>
      </c>
      <c r="D5">
        <v>657566</v>
      </c>
      <c r="E5">
        <v>646896</v>
      </c>
      <c r="F5">
        <v>822719</v>
      </c>
      <c r="G5">
        <v>870680</v>
      </c>
      <c r="H5">
        <v>940060</v>
      </c>
    </row>
    <row r="6">
      <c r="A6">
        <v>2020</v>
      </c>
      <c r="B6">
        <v>527217</v>
      </c>
      <c r="C6">
        <v>566285</v>
      </c>
      <c r="D6">
        <v>603147</v>
      </c>
      <c r="E6">
        <v>708092</v>
      </c>
      <c r="F6">
        <v>845912</v>
      </c>
      <c r="G6">
        <v>822063</v>
      </c>
    </row>
    <row r="7">
      <c r="A7">
        <v>2021</v>
      </c>
      <c r="B7">
        <v>540333</v>
      </c>
      <c r="C7">
        <v>566853</v>
      </c>
      <c r="D7">
        <v>643290</v>
      </c>
      <c r="E7">
        <v>667156</v>
      </c>
      <c r="F7">
        <v>723891</v>
      </c>
    </row>
    <row r="8">
      <c r="A8">
        <v>2022</v>
      </c>
      <c r="B8">
        <v>544546</v>
      </c>
      <c r="C8">
        <v>549046</v>
      </c>
      <c r="D8">
        <v>686476</v>
      </c>
      <c r="E8">
        <v>805931</v>
      </c>
    </row>
    <row r="9">
      <c r="A9">
        <v>2023</v>
      </c>
      <c r="B9">
        <v>498052</v>
      </c>
      <c r="C9">
        <v>556209</v>
      </c>
      <c r="D9">
        <v>742227</v>
      </c>
    </row>
    <row r="10">
      <c r="A10">
        <v>2024</v>
      </c>
      <c r="B10">
        <v>533227</v>
      </c>
      <c r="C10">
        <v>597473</v>
      </c>
    </row>
    <row r="11">
      <c r="A11">
        <v>2025</v>
      </c>
      <c r="B11">
        <v>591445</v>
      </c>
    </row>
  </sheetData>
  <ignoredErrors>
    <ignoredError numberStoredAsText="1" sqref="A1:K1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Dev Period</v>
      </c>
      <c r="B1" t="str">
        <v>Age-to-Age</v>
      </c>
      <c r="C1" t="str">
        <v>Selected</v>
      </c>
      <c r="D1" t="str">
        <v>Cumulative</v>
      </c>
      <c r="E1" t="str">
        <v>To Ultimate</v>
      </c>
    </row>
    <row r="2">
      <c r="A2" t="str">
        <v>1-2</v>
      </c>
      <c r="B2">
        <f>'Tri Medical Malpractice'!C2/'Tri Medical Malpractice'!B2</f>
        <v>0</v>
      </c>
      <c r="C2">
        <f>'DF Medical Malpractice'!B2*CredThreshold+(1-CredThreshold)*1.05</f>
        <v>0</v>
      </c>
      <c r="D2">
        <f>'DF Medical Malpractice'!C2*'DF Medical Malpractice'!D3</f>
        <v>0</v>
      </c>
      <c r="E2">
        <f>'DF Medical Malpractice'!D2*TailFactor</f>
        <v>0</v>
      </c>
    </row>
    <row r="3">
      <c r="A3" t="str">
        <v>2-3</v>
      </c>
      <c r="B3">
        <f>'Tri Medical Malpractice'!D2/'Tri Medical Malpractice'!C2</f>
        <v>0</v>
      </c>
      <c r="C3">
        <f>'DF Medical Malpractice'!B3*CredThreshold+(1-CredThreshold)*1.05</f>
        <v>0</v>
      </c>
      <c r="D3">
        <f>'DF Medical Malpractice'!C3*'DF Medical Malpractice'!D4</f>
        <v>0</v>
      </c>
      <c r="E3">
        <f>'DF Medical Malpractice'!D3*TailFactor</f>
        <v>0</v>
      </c>
    </row>
    <row r="4">
      <c r="A4" t="str">
        <v>3-4</v>
      </c>
      <c r="B4">
        <f>'Tri Medical Malpractice'!E2/'Tri Medical Malpractice'!D2</f>
        <v>0</v>
      </c>
      <c r="C4">
        <f>'DF Medical Malpractice'!B4*CredThreshold+(1-CredThreshold)*1.05</f>
        <v>0</v>
      </c>
      <c r="D4">
        <f>'DF Medical Malpractice'!C4*'DF Medical Malpractice'!D5</f>
        <v>0</v>
      </c>
      <c r="E4">
        <f>'DF Medical Malpractice'!D4*TailFactor</f>
        <v>0</v>
      </c>
    </row>
    <row r="5">
      <c r="A5" t="str">
        <v>4-5</v>
      </c>
      <c r="B5">
        <f>'Tri Medical Malpractice'!F2/'Tri Medical Malpractice'!E2</f>
        <v>0</v>
      </c>
      <c r="C5">
        <f>'DF Medical Malpractice'!B5*CredThreshold+(1-CredThreshold)*1.05</f>
        <v>0</v>
      </c>
      <c r="D5">
        <f>'DF Medical Malpractice'!C5*'DF Medical Malpractice'!D6</f>
        <v>0</v>
      </c>
      <c r="E5">
        <f>'DF Medical Malpractice'!D5*TailFactor</f>
        <v>0</v>
      </c>
    </row>
    <row r="6">
      <c r="A6" t="str">
        <v>5-6</v>
      </c>
      <c r="B6">
        <f>'Tri Medical Malpractice'!G2/'Tri Medical Malpractice'!F2</f>
        <v>0</v>
      </c>
      <c r="C6">
        <f>'DF Medical Malpractice'!B6*CredThreshold+(1-CredThreshold)*1.05</f>
        <v>0</v>
      </c>
      <c r="D6">
        <f>'DF Medical Malpractice'!C6*'DF Medical Malpractice'!D7</f>
        <v>0</v>
      </c>
      <c r="E6">
        <f>'DF Medical Malpractice'!D6*TailFactor</f>
        <v>0</v>
      </c>
    </row>
    <row r="7">
      <c r="A7" t="str">
        <v>6-7</v>
      </c>
      <c r="B7">
        <f>'Tri Medical Malpractice'!H2/'Tri Medical Malpractice'!G2</f>
        <v>0</v>
      </c>
      <c r="C7">
        <f>'DF Medical Malpractice'!B7*CredThreshold+(1-CredThreshold)*1.05</f>
        <v>0</v>
      </c>
      <c r="D7">
        <f>'DF Medical Malpractice'!C7*'DF Medical Malpractice'!D8</f>
        <v>0</v>
      </c>
      <c r="E7">
        <f>'DF Medical Malpractice'!D7*TailFactor</f>
        <v>0</v>
      </c>
    </row>
    <row r="8">
      <c r="A8" t="str">
        <v>7-8</v>
      </c>
      <c r="B8">
        <f>'Tri Medical Malpractice'!I2/'Tri Medical Malpractice'!H2</f>
        <v>0</v>
      </c>
      <c r="C8">
        <f>'DF Medical Malpractice'!B8*CredThreshold+(1-CredThreshold)*1.05</f>
        <v>0</v>
      </c>
      <c r="D8">
        <f>'DF Medical Malpractice'!C8*'DF Medical Malpractice'!D9</f>
        <v>0</v>
      </c>
      <c r="E8">
        <f>'DF Medical Malpractice'!D8*TailFactor</f>
        <v>0</v>
      </c>
    </row>
    <row r="9">
      <c r="A9" t="str">
        <v>8-9</v>
      </c>
      <c r="B9">
        <f>'Tri Medical Malpractice'!J2/'Tri Medical Malpractice'!I2</f>
        <v>0</v>
      </c>
      <c r="C9">
        <f>'DF Medical Malpractice'!B9*CredThreshold+(1-CredThreshold)*1.05</f>
        <v>0</v>
      </c>
      <c r="D9">
        <f>'DF Medical Malpractice'!C9*'DF Medical Malpractice'!D10</f>
        <v>0</v>
      </c>
      <c r="E9">
        <f>'DF Medical Malpractice'!D9*TailFactor</f>
        <v>0</v>
      </c>
    </row>
    <row r="10">
      <c r="A10" t="str">
        <v>9-10</v>
      </c>
      <c r="B10">
        <f>'Tri Medical Malpractice'!K2/'Tri Medical Malpractice'!J2</f>
        <v>0</v>
      </c>
      <c r="C10">
        <f>'DF Medical Malpractice'!B10*CredThreshold+(1-CredThreshold)*1.05</f>
        <v>0</v>
      </c>
      <c r="D10">
        <f>'DF Medical Malpractice'!C10*TailFactor</f>
        <v>0</v>
      </c>
      <c r="E10">
        <f>'DF Medical Malpractice'!D10*TailFactor</f>
        <v>0</v>
      </c>
    </row>
  </sheetData>
  <ignoredErrors>
    <ignoredError numberStoredAsText="1" sqref="A1:E1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AY</v>
      </c>
      <c r="B1" t="str">
        <v>Paid to Date</v>
      </c>
      <c r="C1" t="str">
        <v>CDF</v>
      </c>
      <c r="D1" t="str">
        <v>Ultimate</v>
      </c>
      <c r="E1" t="str">
        <v>IBNR</v>
      </c>
      <c r="F1" t="str">
        <v>Discounted IBNR</v>
      </c>
      <c r="G1" t="str">
        <v>Case Reserve</v>
      </c>
      <c r="H1" t="str">
        <v>Total Reserve</v>
      </c>
    </row>
    <row r="2">
      <c r="A2">
        <v>2016</v>
      </c>
      <c r="B2">
        <f>'Tri Medical Malpractice'!K2</f>
        <v>0</v>
      </c>
      <c r="C2">
        <f>TailFactor</f>
        <v>0</v>
      </c>
      <c r="D2">
        <f>'IBNR Medical Malpractice'!B2*'IBNR Medical Malpractice'!C2</f>
        <v>0</v>
      </c>
      <c r="E2">
        <f>'IBNR Medical Malpractice'!D2-'IBNR Medical Malpractice'!B2</f>
        <v>0</v>
      </c>
      <c r="F2">
        <f>'IBNR Medical Malpractice'!E2/(1+DiscountRate)^5</f>
        <v>0</v>
      </c>
      <c r="G2">
        <f>'IBNR Medical Malpractice'!B2*CaseAdequacy*0.1</f>
        <v>0</v>
      </c>
      <c r="H2">
        <f>'IBNR Medical Malpractice'!F2+'IBNR Medical Malpractice'!G2+'IBNR Medical Malpractice'!E2*ULAEFactor+'IBNR Medical Malpractice'!D2*BulkReservePct</f>
        <v>0</v>
      </c>
    </row>
    <row r="3">
      <c r="A3">
        <v>2017</v>
      </c>
      <c r="B3">
        <f>'Tri Medical Malpractice'!J3</f>
        <v>0</v>
      </c>
      <c r="C3">
        <f>'DF Medical Malpractice'!D10</f>
        <v>0</v>
      </c>
      <c r="D3">
        <f>'IBNR Medical Malpractice'!B3*'IBNR Medical Malpractice'!C3</f>
        <v>0</v>
      </c>
      <c r="E3">
        <f>'IBNR Medical Malpractice'!D3-'IBNR Medical Malpractice'!B3</f>
        <v>0</v>
      </c>
      <c r="F3">
        <f>'IBNR Medical Malpractice'!E3/(1+DiscountRate)^5</f>
        <v>0</v>
      </c>
      <c r="G3">
        <f>'IBNR Medical Malpractice'!B3*CaseAdequacy*0.1</f>
        <v>0</v>
      </c>
      <c r="H3">
        <f>'IBNR Medical Malpractice'!F3+'IBNR Medical Malpractice'!G3+'IBNR Medical Malpractice'!E3*ULAEFactor+'IBNR Medical Malpractice'!D3*BulkReservePct</f>
        <v>0</v>
      </c>
    </row>
    <row r="4">
      <c r="A4">
        <v>2018</v>
      </c>
      <c r="B4">
        <f>'Tri Medical Malpractice'!I4</f>
        <v>0</v>
      </c>
      <c r="C4">
        <f>'DF Medical Malpractice'!D9</f>
        <v>0</v>
      </c>
      <c r="D4">
        <f>'IBNR Medical Malpractice'!B4*'IBNR Medical Malpractice'!C4</f>
        <v>0</v>
      </c>
      <c r="E4">
        <f>'IBNR Medical Malpractice'!D4-'IBNR Medical Malpractice'!B4</f>
        <v>0</v>
      </c>
      <c r="F4">
        <f>'IBNR Medical Malpractice'!E4/(1+DiscountRate)^4</f>
        <v>0</v>
      </c>
      <c r="G4">
        <f>'IBNR Medical Malpractice'!B4*CaseAdequacy*0.1</f>
        <v>0</v>
      </c>
      <c r="H4">
        <f>'IBNR Medical Malpractice'!F4+'IBNR Medical Malpractice'!G4+'IBNR Medical Malpractice'!E4*ULAEFactor+'IBNR Medical Malpractice'!D4*BulkReservePct</f>
        <v>0</v>
      </c>
    </row>
    <row r="5">
      <c r="A5">
        <v>2019</v>
      </c>
      <c r="B5">
        <f>'Tri Medical Malpractice'!H5</f>
        <v>0</v>
      </c>
      <c r="C5">
        <f>'DF Medical Malpractice'!D8</f>
        <v>0</v>
      </c>
      <c r="D5">
        <f>'IBNR Medical Malpractice'!B5*'IBNR Medical Malpractice'!C5</f>
        <v>0</v>
      </c>
      <c r="E5">
        <f>'IBNR Medical Malpractice'!D5-'IBNR Medical Malpractice'!B5</f>
        <v>0</v>
      </c>
      <c r="F5">
        <f>'IBNR Medical Malpractice'!E5/(1+DiscountRate)^4</f>
        <v>0</v>
      </c>
      <c r="G5">
        <f>'IBNR Medical Malpractice'!B5*CaseAdequacy*0.1</f>
        <v>0</v>
      </c>
      <c r="H5">
        <f>'IBNR Medical Malpractice'!F5+'IBNR Medical Malpractice'!G5+'IBNR Medical Malpractice'!E5*ULAEFactor+'IBNR Medical Malpractice'!D5*BulkReservePct</f>
        <v>0</v>
      </c>
    </row>
    <row r="6">
      <c r="A6">
        <v>2020</v>
      </c>
      <c r="B6">
        <f>'Tri Medical Malpractice'!G6</f>
        <v>0</v>
      </c>
      <c r="C6">
        <f>'DF Medical Malpractice'!D7</f>
        <v>0</v>
      </c>
      <c r="D6">
        <f>'IBNR Medical Malpractice'!B6*'IBNR Medical Malpractice'!C6</f>
        <v>0</v>
      </c>
      <c r="E6">
        <f>'IBNR Medical Malpractice'!D6-'IBNR Medical Malpractice'!B6</f>
        <v>0</v>
      </c>
      <c r="F6">
        <f>'IBNR Medical Malpractice'!E6/(1+DiscountRate)^3</f>
        <v>0</v>
      </c>
      <c r="G6">
        <f>'IBNR Medical Malpractice'!B6*CaseAdequacy*0.1</f>
        <v>0</v>
      </c>
      <c r="H6">
        <f>'IBNR Medical Malpractice'!F6+'IBNR Medical Malpractice'!G6+'IBNR Medical Malpractice'!E6*ULAEFactor+'IBNR Medical Malpractice'!D6*BulkReservePct</f>
        <v>0</v>
      </c>
    </row>
    <row r="7">
      <c r="A7">
        <v>2021</v>
      </c>
      <c r="B7">
        <f>'Tri Medical Malpractice'!F7</f>
        <v>0</v>
      </c>
      <c r="C7">
        <f>'DF Medical Malpractice'!D6</f>
        <v>0</v>
      </c>
      <c r="D7">
        <f>'IBNR Medical Malpractice'!B7*'IBNR Medical Malpractice'!C7</f>
        <v>0</v>
      </c>
      <c r="E7">
        <f>'IBNR Medical Malpractice'!D7-'IBNR Medical Malpractice'!B7</f>
        <v>0</v>
      </c>
      <c r="F7">
        <f>'IBNR Medical Malpractice'!E7/(1+DiscountRate)^3</f>
        <v>0</v>
      </c>
      <c r="G7">
        <f>'IBNR Medical Malpractice'!B7*CaseAdequacy*0.1</f>
        <v>0</v>
      </c>
      <c r="H7">
        <f>'IBNR Medical Malpractice'!F7+'IBNR Medical Malpractice'!G7+'IBNR Medical Malpractice'!E7*ULAEFactor+'IBNR Medical Malpractice'!D7*BulkReservePct</f>
        <v>0</v>
      </c>
    </row>
    <row r="8">
      <c r="A8">
        <v>2022</v>
      </c>
      <c r="B8">
        <f>'Tri Medical Malpractice'!E8</f>
        <v>0</v>
      </c>
      <c r="C8">
        <f>'DF Medical Malpractice'!D5</f>
        <v>0</v>
      </c>
      <c r="D8">
        <f>'IBNR Medical Malpractice'!B8*'IBNR Medical Malpractice'!C8</f>
        <v>0</v>
      </c>
      <c r="E8">
        <f>'IBNR Medical Malpractice'!D8-'IBNR Medical Malpractice'!B8</f>
        <v>0</v>
      </c>
      <c r="F8">
        <f>'IBNR Medical Malpractice'!E8/(1+DiscountRate)^2</f>
        <v>0</v>
      </c>
      <c r="G8">
        <f>'IBNR Medical Malpractice'!B8*CaseAdequacy*0.1</f>
        <v>0</v>
      </c>
      <c r="H8">
        <f>'IBNR Medical Malpractice'!F8+'IBNR Medical Malpractice'!G8+'IBNR Medical Malpractice'!E8*ULAEFactor+'IBNR Medical Malpractice'!D8*BulkReservePct</f>
        <v>0</v>
      </c>
    </row>
    <row r="9">
      <c r="A9">
        <v>2023</v>
      </c>
      <c r="B9">
        <f>'Tri Medical Malpractice'!D9</f>
        <v>0</v>
      </c>
      <c r="C9">
        <f>'DF Medical Malpractice'!D4</f>
        <v>0</v>
      </c>
      <c r="D9">
        <f>'IBNR Medical Malpractice'!B9*'IBNR Medical Malpractice'!C9</f>
        <v>0</v>
      </c>
      <c r="E9">
        <f>'IBNR Medical Malpractice'!D9-'IBNR Medical Malpractice'!B9</f>
        <v>0</v>
      </c>
      <c r="F9">
        <f>'IBNR Medical Malpractice'!E9/(1+DiscountRate)^2</f>
        <v>0</v>
      </c>
      <c r="G9">
        <f>'IBNR Medical Malpractice'!B9*CaseAdequacy*0.1</f>
        <v>0</v>
      </c>
      <c r="H9">
        <f>'IBNR Medical Malpractice'!F9+'IBNR Medical Malpractice'!G9+'IBNR Medical Malpractice'!E9*ULAEFactor+'IBNR Medical Malpractice'!D9*BulkReservePct</f>
        <v>0</v>
      </c>
    </row>
    <row r="10">
      <c r="A10">
        <v>2024</v>
      </c>
      <c r="B10">
        <f>'Tri Medical Malpractice'!C10</f>
        <v>0</v>
      </c>
      <c r="C10">
        <f>'DF Medical Malpractice'!D3</f>
        <v>0</v>
      </c>
      <c r="D10">
        <f>'IBNR Medical Malpractice'!B10*'IBNR Medical Malpractice'!C10</f>
        <v>0</v>
      </c>
      <c r="E10">
        <f>'IBNR Medical Malpractice'!D10-'IBNR Medical Malpractice'!B10</f>
        <v>0</v>
      </c>
      <c r="F10">
        <f>'IBNR Medical Malpractice'!E10/(1+DiscountRate)^1</f>
        <v>0</v>
      </c>
      <c r="G10">
        <f>'IBNR Medical Malpractice'!B10*CaseAdequacy*0.1</f>
        <v>0</v>
      </c>
      <c r="H10">
        <f>'IBNR Medical Malpractice'!F10+'IBNR Medical Malpractice'!G10+'IBNR Medical Malpractice'!E10*ULAEFactor+'IBNR Medical Malpractice'!D10*BulkReservePct</f>
        <v>0</v>
      </c>
    </row>
    <row r="11">
      <c r="A11">
        <v>2025</v>
      </c>
      <c r="B11">
        <f>'Tri Medical Malpractice'!B11</f>
        <v>0</v>
      </c>
      <c r="C11">
        <f>'DF Medical Malpractice'!D2</f>
        <v>0</v>
      </c>
      <c r="D11">
        <f>'IBNR Medical Malpractice'!B11*'IBNR Medical Malpractice'!C11</f>
        <v>0</v>
      </c>
      <c r="E11">
        <f>'IBNR Medical Malpractice'!D11-'IBNR Medical Malpractice'!B11</f>
        <v>0</v>
      </c>
      <c r="F11">
        <f>'IBNR Medical Malpractice'!E11/(1+DiscountRate)^1</f>
        <v>0</v>
      </c>
      <c r="G11">
        <f>'IBNR Medical Malpractice'!B11*CaseAdequacy*0.1</f>
        <v>0</v>
      </c>
      <c r="H11">
        <f>'IBNR Medical Malpractice'!F11+'IBNR Medical Malpractice'!G11+'IBNR Medical Malpractice'!E11*ULAEFactor+'IBNR Medical Malpractice'!D11*BulkReservePct</f>
        <v>0</v>
      </c>
    </row>
  </sheetData>
  <ignoredErrors>
    <ignoredError numberStoredAsText="1" sqref="A1:H1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LOB</v>
      </c>
      <c r="B1" t="str">
        <v>Total Paid</v>
      </c>
      <c r="C1" t="str">
        <v>Total IBNR</v>
      </c>
      <c r="D1" t="str">
        <v>Case Reserve</v>
      </c>
      <c r="E1" t="str">
        <v>ULAE</v>
      </c>
      <c r="F1" t="str">
        <v>Bulk</v>
      </c>
      <c r="G1" t="str">
        <v>Disc. IBNR</v>
      </c>
      <c r="H1" t="str">
        <v>Total Reserve</v>
      </c>
      <c r="I1" t="str">
        <v>S&amp;S Credit</v>
      </c>
      <c r="J1" t="str">
        <v>Net Reserve</v>
      </c>
      <c r="K1" t="str">
        <v>Risk Margin</v>
      </c>
    </row>
    <row r="2">
      <c r="A2" t="str">
        <v>Auto Liability</v>
      </c>
      <c r="B2">
        <f>SUM('IBNR Auto Liability'!B2:B11)</f>
        <v>0</v>
      </c>
      <c r="C2">
        <f>SUM('IBNR Auto Liability'!E2:E11)</f>
        <v>0</v>
      </c>
      <c r="D2">
        <f>SUM('IBNR Auto Liability'!G2:G11)</f>
        <v>0</v>
      </c>
      <c r="E2">
        <f>'Reserve Summary'!C2*ULAEFactor</f>
        <v>0</v>
      </c>
      <c r="F2">
        <f>SUM('IBNR Auto Liability'!D2:D11)*BulkReservePct</f>
        <v>0</v>
      </c>
      <c r="G2">
        <f>SUM('IBNR Auto Liability'!F2:F11)</f>
        <v>0</v>
      </c>
      <c r="H2">
        <f>SUM('IBNR Auto Liability'!H2:H11)</f>
        <v>0</v>
      </c>
      <c r="I2">
        <f>'Reserve Summary'!H2*SalvageSubro</f>
        <v>0</v>
      </c>
      <c r="J2">
        <f>'Reserve Summary'!H2-'Reserve Summary'!I2</f>
        <v>0</v>
      </c>
      <c r="K2">
        <f>'Reserve Summary'!J2*RiskMargin</f>
        <v>0</v>
      </c>
    </row>
    <row r="3">
      <c r="A3" t="str">
        <v>Auto Physical</v>
      </c>
      <c r="B3">
        <f>SUM('IBNR Auto Physical'!B2:B11)</f>
        <v>0</v>
      </c>
      <c r="C3">
        <f>SUM('IBNR Auto Physical'!E2:E11)</f>
        <v>0</v>
      </c>
      <c r="D3">
        <f>SUM('IBNR Auto Physical'!G2:G11)</f>
        <v>0</v>
      </c>
      <c r="E3">
        <f>'Reserve Summary'!C3*ULAEFactor</f>
        <v>0</v>
      </c>
      <c r="F3">
        <f>SUM('IBNR Auto Physical'!D2:D11)*BulkReservePct</f>
        <v>0</v>
      </c>
      <c r="G3">
        <f>SUM('IBNR Auto Physical'!F2:F11)</f>
        <v>0</v>
      </c>
      <c r="H3">
        <f>SUM('IBNR Auto Physical'!H2:H11)</f>
        <v>0</v>
      </c>
      <c r="I3">
        <f>'Reserve Summary'!H3*SalvageSubro</f>
        <v>0</v>
      </c>
      <c r="J3">
        <f>'Reserve Summary'!H3-'Reserve Summary'!I3</f>
        <v>0</v>
      </c>
      <c r="K3">
        <f>'Reserve Summary'!J3*RiskMargin</f>
        <v>0</v>
      </c>
    </row>
    <row r="4">
      <c r="A4" t="str">
        <v>General Liability</v>
      </c>
      <c r="B4">
        <f>SUM('IBNR General Liability'!B2:B11)</f>
        <v>0</v>
      </c>
      <c r="C4">
        <f>SUM('IBNR General Liability'!E2:E11)</f>
        <v>0</v>
      </c>
      <c r="D4">
        <f>SUM('IBNR General Liability'!G2:G11)</f>
        <v>0</v>
      </c>
      <c r="E4">
        <f>'Reserve Summary'!C4*ULAEFactor</f>
        <v>0</v>
      </c>
      <c r="F4">
        <f>SUM('IBNR General Liability'!D2:D11)*BulkReservePct</f>
        <v>0</v>
      </c>
      <c r="G4">
        <f>SUM('IBNR General Liability'!F2:F11)</f>
        <v>0</v>
      </c>
      <c r="H4">
        <f>SUM('IBNR General Liability'!H2:H11)</f>
        <v>0</v>
      </c>
      <c r="I4">
        <f>'Reserve Summary'!H4*SalvageSubro</f>
        <v>0</v>
      </c>
      <c r="J4">
        <f>'Reserve Summary'!H4-'Reserve Summary'!I4</f>
        <v>0</v>
      </c>
      <c r="K4">
        <f>'Reserve Summary'!J4*RiskMargin</f>
        <v>0</v>
      </c>
    </row>
    <row r="5">
      <c r="A5" t="str">
        <v>Workers Comp</v>
      </c>
      <c r="B5">
        <f>SUM('IBNR Workers Comp'!B2:B11)</f>
        <v>0</v>
      </c>
      <c r="C5">
        <f>SUM('IBNR Workers Comp'!E2:E11)</f>
        <v>0</v>
      </c>
      <c r="D5">
        <f>SUM('IBNR Workers Comp'!G2:G11)</f>
        <v>0</v>
      </c>
      <c r="E5">
        <f>'Reserve Summary'!C5*ULAEFactor</f>
        <v>0</v>
      </c>
      <c r="F5">
        <f>SUM('IBNR Workers Comp'!D2:D11)*BulkReservePct</f>
        <v>0</v>
      </c>
      <c r="G5">
        <f>SUM('IBNR Workers Comp'!F2:F11)</f>
        <v>0</v>
      </c>
      <c r="H5">
        <f>SUM('IBNR Workers Comp'!H2:H11)</f>
        <v>0</v>
      </c>
      <c r="I5">
        <f>'Reserve Summary'!H5*SalvageSubro</f>
        <v>0</v>
      </c>
      <c r="J5">
        <f>'Reserve Summary'!H5-'Reserve Summary'!I5</f>
        <v>0</v>
      </c>
      <c r="K5">
        <f>'Reserve Summary'!J5*RiskMargin</f>
        <v>0</v>
      </c>
    </row>
    <row r="6">
      <c r="A6" t="str">
        <v>Commercial Property</v>
      </c>
      <c r="B6">
        <f>SUM('IBNR Commercial Property'!B2:B11)</f>
        <v>0</v>
      </c>
      <c r="C6">
        <f>SUM('IBNR Commercial Property'!E2:E11)</f>
        <v>0</v>
      </c>
      <c r="D6">
        <f>SUM('IBNR Commercial Property'!G2:G11)</f>
        <v>0</v>
      </c>
      <c r="E6">
        <f>'Reserve Summary'!C6*ULAEFactor</f>
        <v>0</v>
      </c>
      <c r="F6">
        <f>SUM('IBNR Commercial Property'!D2:D11)*BulkReservePct</f>
        <v>0</v>
      </c>
      <c r="G6">
        <f>SUM('IBNR Commercial Property'!F2:F11)</f>
        <v>0</v>
      </c>
      <c r="H6">
        <f>SUM('IBNR Commercial Property'!H2:H11)</f>
        <v>0</v>
      </c>
      <c r="I6">
        <f>'Reserve Summary'!H6*SalvageSubro</f>
        <v>0</v>
      </c>
      <c r="J6">
        <f>'Reserve Summary'!H6-'Reserve Summary'!I6</f>
        <v>0</v>
      </c>
      <c r="K6">
        <f>'Reserve Summary'!J6*RiskMargin</f>
        <v>0</v>
      </c>
    </row>
    <row r="7">
      <c r="A7" t="str">
        <v>Professional Liab</v>
      </c>
      <c r="B7">
        <f>SUM('IBNR Professional Liab'!B2:B11)</f>
        <v>0</v>
      </c>
      <c r="C7">
        <f>SUM('IBNR Professional Liab'!E2:E11)</f>
        <v>0</v>
      </c>
      <c r="D7">
        <f>SUM('IBNR Professional Liab'!G2:G11)</f>
        <v>0</v>
      </c>
      <c r="E7">
        <f>'Reserve Summary'!C7*ULAEFactor</f>
        <v>0</v>
      </c>
      <c r="F7">
        <f>SUM('IBNR Professional Liab'!D2:D11)*BulkReservePct</f>
        <v>0</v>
      </c>
      <c r="G7">
        <f>SUM('IBNR Professional Liab'!F2:F11)</f>
        <v>0</v>
      </c>
      <c r="H7">
        <f>SUM('IBNR Professional Liab'!H2:H11)</f>
        <v>0</v>
      </c>
      <c r="I7">
        <f>'Reserve Summary'!H7*SalvageSubro</f>
        <v>0</v>
      </c>
      <c r="J7">
        <f>'Reserve Summary'!H7-'Reserve Summary'!I7</f>
        <v>0</v>
      </c>
      <c r="K7">
        <f>'Reserve Summary'!J7*RiskMargin</f>
        <v>0</v>
      </c>
    </row>
    <row r="8">
      <c r="A8" t="str">
        <v>Umbrella</v>
      </c>
      <c r="B8">
        <f>SUM('IBNR Umbrella'!B2:B11)</f>
        <v>0</v>
      </c>
      <c r="C8">
        <f>SUM('IBNR Umbrella'!E2:E11)</f>
        <v>0</v>
      </c>
      <c r="D8">
        <f>SUM('IBNR Umbrella'!G2:G11)</f>
        <v>0</v>
      </c>
      <c r="E8">
        <f>'Reserve Summary'!C8*ULAEFactor</f>
        <v>0</v>
      </c>
      <c r="F8">
        <f>SUM('IBNR Umbrella'!D2:D11)*BulkReservePct</f>
        <v>0</v>
      </c>
      <c r="G8">
        <f>SUM('IBNR Umbrella'!F2:F11)</f>
        <v>0</v>
      </c>
      <c r="H8">
        <f>SUM('IBNR Umbrella'!H2:H11)</f>
        <v>0</v>
      </c>
      <c r="I8">
        <f>'Reserve Summary'!H8*SalvageSubro</f>
        <v>0</v>
      </c>
      <c r="J8">
        <f>'Reserve Summary'!H8-'Reserve Summary'!I8</f>
        <v>0</v>
      </c>
      <c r="K8">
        <f>'Reserve Summary'!J8*RiskMargin</f>
        <v>0</v>
      </c>
    </row>
    <row r="9">
      <c r="A9" t="str">
        <v>Medical Malpractice</v>
      </c>
      <c r="B9">
        <f>SUM('IBNR Medical Malpractice'!B2:B11)</f>
        <v>0</v>
      </c>
      <c r="C9">
        <f>SUM('IBNR Medical Malpractice'!E2:E11)</f>
        <v>0</v>
      </c>
      <c r="D9">
        <f>SUM('IBNR Medical Malpractice'!G2:G11)</f>
        <v>0</v>
      </c>
      <c r="E9">
        <f>'Reserve Summary'!C9*ULAEFactor</f>
        <v>0</v>
      </c>
      <c r="F9">
        <f>SUM('IBNR Medical Malpractice'!D2:D11)*BulkReservePct</f>
        <v>0</v>
      </c>
      <c r="G9">
        <f>SUM('IBNR Medical Malpractice'!F2:F11)</f>
        <v>0</v>
      </c>
      <c r="H9">
        <f>SUM('IBNR Medical Malpractice'!H2:H11)</f>
        <v>0</v>
      </c>
      <c r="I9">
        <f>'Reserve Summary'!H9*SalvageSubro</f>
        <v>0</v>
      </c>
      <c r="J9">
        <f>'Reserve Summary'!H9-'Reserve Summary'!I9</f>
        <v>0</v>
      </c>
      <c r="K9">
        <f>'Reserve Summary'!J9*RiskMargin</f>
        <v>0</v>
      </c>
    </row>
    <row r="10">
      <c r="A10" t="str">
        <v>TOTAL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</row>
  </sheetData>
  <ignoredErrors>
    <ignoredError numberStoredAsText="1" sqref="A1:K1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LOB</v>
      </c>
      <c r="B1" t="str">
        <v>12-24 LDF</v>
      </c>
      <c r="C1" t="str">
        <v>24-36 LDF</v>
      </c>
      <c r="D1" t="str">
        <v>36-48 LDF</v>
      </c>
      <c r="E1" t="str">
        <v>48-60 LDF</v>
      </c>
      <c r="F1" t="str">
        <v>Tail</v>
      </c>
      <c r="G1" t="str">
        <v>CDF to Ult</v>
      </c>
    </row>
    <row r="2">
      <c r="A2" t="str">
        <v>Auto Liability</v>
      </c>
      <c r="B2">
        <f>'DF Auto Liability'!C2</f>
        <v>0</v>
      </c>
      <c r="C2">
        <f>'DF Auto Liability'!C3</f>
        <v>0</v>
      </c>
      <c r="D2">
        <f>'DF Auto Liability'!C4</f>
        <v>0</v>
      </c>
      <c r="E2">
        <f>'DF Auto Liability'!C5</f>
        <v>0</v>
      </c>
      <c r="F2">
        <f>TailFactor</f>
        <v>0</v>
      </c>
      <c r="G2">
        <f>'DF Auto Liability'!D2</f>
        <v>0</v>
      </c>
    </row>
    <row r="3">
      <c r="A3" t="str">
        <v>Auto Physical</v>
      </c>
      <c r="B3">
        <f>'DF Auto Physical'!C2</f>
        <v>0</v>
      </c>
      <c r="C3">
        <f>'DF Auto Physical'!C3</f>
        <v>0</v>
      </c>
      <c r="D3">
        <f>'DF Auto Physical'!C4</f>
        <v>0</v>
      </c>
      <c r="E3">
        <f>'DF Auto Physical'!C5</f>
        <v>0</v>
      </c>
      <c r="F3">
        <f>TailFactor</f>
        <v>0</v>
      </c>
      <c r="G3">
        <f>'DF Auto Physical'!D2</f>
        <v>0</v>
      </c>
    </row>
    <row r="4">
      <c r="A4" t="str">
        <v>General Liability</v>
      </c>
      <c r="B4">
        <f>'DF General Liability'!C2</f>
        <v>0</v>
      </c>
      <c r="C4">
        <f>'DF General Liability'!C3</f>
        <v>0</v>
      </c>
      <c r="D4">
        <f>'DF General Liability'!C4</f>
        <v>0</v>
      </c>
      <c r="E4">
        <f>'DF General Liability'!C5</f>
        <v>0</v>
      </c>
      <c r="F4">
        <f>TailFactor</f>
        <v>0</v>
      </c>
      <c r="G4">
        <f>'DF General Liability'!D2</f>
        <v>0</v>
      </c>
    </row>
    <row r="5">
      <c r="A5" t="str">
        <v>Workers Comp</v>
      </c>
      <c r="B5">
        <f>'DF Workers Comp'!C2</f>
        <v>0</v>
      </c>
      <c r="C5">
        <f>'DF Workers Comp'!C3</f>
        <v>0</v>
      </c>
      <c r="D5">
        <f>'DF Workers Comp'!C4</f>
        <v>0</v>
      </c>
      <c r="E5">
        <f>'DF Workers Comp'!C5</f>
        <v>0</v>
      </c>
      <c r="F5">
        <f>TailFactor</f>
        <v>0</v>
      </c>
      <c r="G5">
        <f>'DF Workers Comp'!D2</f>
        <v>0</v>
      </c>
    </row>
    <row r="6">
      <c r="A6" t="str">
        <v>Commercial Property</v>
      </c>
      <c r="B6">
        <f>'DF Commercial Property'!C2</f>
        <v>0</v>
      </c>
      <c r="C6">
        <f>'DF Commercial Property'!C3</f>
        <v>0</v>
      </c>
      <c r="D6">
        <f>'DF Commercial Property'!C4</f>
        <v>0</v>
      </c>
      <c r="E6">
        <f>'DF Commercial Property'!C5</f>
        <v>0</v>
      </c>
      <c r="F6">
        <f>TailFactor</f>
        <v>0</v>
      </c>
      <c r="G6">
        <f>'DF Commercial Property'!D2</f>
        <v>0</v>
      </c>
    </row>
    <row r="7">
      <c r="A7" t="str">
        <v>Professional Liab</v>
      </c>
      <c r="B7">
        <f>'DF Professional Liab'!C2</f>
        <v>0</v>
      </c>
      <c r="C7">
        <f>'DF Professional Liab'!C3</f>
        <v>0</v>
      </c>
      <c r="D7">
        <f>'DF Professional Liab'!C4</f>
        <v>0</v>
      </c>
      <c r="E7">
        <f>'DF Professional Liab'!C5</f>
        <v>0</v>
      </c>
      <c r="F7">
        <f>TailFactor</f>
        <v>0</v>
      </c>
      <c r="G7">
        <f>'DF Professional Liab'!D2</f>
        <v>0</v>
      </c>
    </row>
    <row r="8">
      <c r="A8" t="str">
        <v>Umbrella</v>
      </c>
      <c r="B8">
        <f>'DF Umbrella'!C2</f>
        <v>0</v>
      </c>
      <c r="C8">
        <f>'DF Umbrella'!C3</f>
        <v>0</v>
      </c>
      <c r="D8">
        <f>'DF Umbrella'!C4</f>
        <v>0</v>
      </c>
      <c r="E8">
        <f>'DF Umbrella'!C5</f>
        <v>0</v>
      </c>
      <c r="F8">
        <f>TailFactor</f>
        <v>0</v>
      </c>
      <c r="G8">
        <f>'DF Umbrella'!D2</f>
        <v>0</v>
      </c>
    </row>
    <row r="9">
      <c r="A9" t="str">
        <v>Medical Malpractice</v>
      </c>
      <c r="B9">
        <f>'DF Medical Malpractice'!C2</f>
        <v>0</v>
      </c>
      <c r="C9">
        <f>'DF Medical Malpractice'!C3</f>
        <v>0</v>
      </c>
      <c r="D9">
        <f>'DF Medical Malpractice'!C4</f>
        <v>0</v>
      </c>
      <c r="E9">
        <f>'DF Medical Malpractice'!C5</f>
        <v>0</v>
      </c>
      <c r="F9">
        <f>TailFactor</f>
        <v>0</v>
      </c>
      <c r="G9">
        <f>'DF Medical Malpractice'!D2</f>
        <v>0</v>
      </c>
    </row>
  </sheetData>
  <ignoredErrors>
    <ignoredError numberStoredAsText="1" sqref="A1:G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Year</v>
      </c>
      <c r="B1" t="str">
        <v>Paid Severity</v>
      </c>
      <c r="C1" t="str">
        <v>Frequency</v>
      </c>
      <c r="D1" t="str">
        <v>Pure Premium</v>
      </c>
      <c r="E1" t="str">
        <v>CPI Adj</v>
      </c>
      <c r="F1" t="str">
        <v>Medical Adj</v>
      </c>
      <c r="G1" t="str">
        <v>Trended PP</v>
      </c>
    </row>
    <row r="2">
      <c r="A2">
        <v>2016</v>
      </c>
      <c r="B2">
        <v>15000</v>
      </c>
      <c r="C2">
        <v>0.05</v>
      </c>
      <c r="D2">
        <f>'Trend Analysis'!B2*'Trend Analysis'!C2</f>
        <v>0</v>
      </c>
      <c r="E2">
        <f>'Trend Analysis'!D2*(1+CPITrend)^(2025-'Trend Analysis'!A2)</f>
        <v>0</v>
      </c>
      <c r="F2">
        <f>'Trend Analysis'!D2*(1+MedicalTrend)^(2025-'Trend Analysis'!A2)</f>
        <v>0</v>
      </c>
      <c r="G2">
        <f>('Trend Analysis'!E2+'Trend Analysis'!F2)/2</f>
        <v>0</v>
      </c>
    </row>
    <row r="3">
      <c r="A3">
        <v>2017</v>
      </c>
      <c r="B3">
        <v>15800</v>
      </c>
      <c r="C3">
        <v>0.052000000000000005</v>
      </c>
      <c r="D3">
        <f>'Trend Analysis'!B3*'Trend Analysis'!C3</f>
        <v>0</v>
      </c>
      <c r="E3">
        <f>'Trend Analysis'!D3*(1+CPITrend)^(2025-'Trend Analysis'!A3)</f>
        <v>0</v>
      </c>
      <c r="F3">
        <f>'Trend Analysis'!D3*(1+MedicalTrend)^(2025-'Trend Analysis'!A3)</f>
        <v>0</v>
      </c>
      <c r="G3">
        <f>('Trend Analysis'!E3+'Trend Analysis'!F3)/2</f>
        <v>0</v>
      </c>
    </row>
    <row r="4">
      <c r="A4">
        <v>2018</v>
      </c>
      <c r="B4">
        <v>16600</v>
      </c>
      <c r="C4">
        <v>0.054000000000000006</v>
      </c>
      <c r="D4">
        <f>'Trend Analysis'!B4*'Trend Analysis'!C4</f>
        <v>0</v>
      </c>
      <c r="E4">
        <f>'Trend Analysis'!D4*(1+CPITrend)^(2025-'Trend Analysis'!A4)</f>
        <v>0</v>
      </c>
      <c r="F4">
        <f>'Trend Analysis'!D4*(1+MedicalTrend)^(2025-'Trend Analysis'!A4)</f>
        <v>0</v>
      </c>
      <c r="G4">
        <f>('Trend Analysis'!E4+'Trend Analysis'!F4)/2</f>
        <v>0</v>
      </c>
    </row>
    <row r="5">
      <c r="A5">
        <v>2019</v>
      </c>
      <c r="B5">
        <v>17400</v>
      </c>
      <c r="C5">
        <v>0.056</v>
      </c>
      <c r="D5">
        <f>'Trend Analysis'!B5*'Trend Analysis'!C5</f>
        <v>0</v>
      </c>
      <c r="E5">
        <f>'Trend Analysis'!D5*(1+CPITrend)^(2025-'Trend Analysis'!A5)</f>
        <v>0</v>
      </c>
      <c r="F5">
        <f>'Trend Analysis'!D5*(1+MedicalTrend)^(2025-'Trend Analysis'!A5)</f>
        <v>0</v>
      </c>
      <c r="G5">
        <f>('Trend Analysis'!E5+'Trend Analysis'!F5)/2</f>
        <v>0</v>
      </c>
    </row>
    <row r="6">
      <c r="A6">
        <v>2020</v>
      </c>
      <c r="B6">
        <v>18200</v>
      </c>
      <c r="C6">
        <v>0.058</v>
      </c>
      <c r="D6">
        <f>'Trend Analysis'!B6*'Trend Analysis'!C6</f>
        <v>0</v>
      </c>
      <c r="E6">
        <f>'Trend Analysis'!D6*(1+CPITrend)^(2025-'Trend Analysis'!A6)</f>
        <v>0</v>
      </c>
      <c r="F6">
        <f>'Trend Analysis'!D6*(1+MedicalTrend)^(2025-'Trend Analysis'!A6)</f>
        <v>0</v>
      </c>
      <c r="G6">
        <f>('Trend Analysis'!E6+'Trend Analysis'!F6)/2</f>
        <v>0</v>
      </c>
    </row>
    <row r="7">
      <c r="A7">
        <v>2021</v>
      </c>
      <c r="B7">
        <v>19000</v>
      </c>
      <c r="C7">
        <v>0.060000000000000005</v>
      </c>
      <c r="D7">
        <f>'Trend Analysis'!B7*'Trend Analysis'!C7</f>
        <v>0</v>
      </c>
      <c r="E7">
        <f>'Trend Analysis'!D7*(1+CPITrend)^(2025-'Trend Analysis'!A7)</f>
        <v>0</v>
      </c>
      <c r="F7">
        <f>'Trend Analysis'!D7*(1+MedicalTrend)^(2025-'Trend Analysis'!A7)</f>
        <v>0</v>
      </c>
      <c r="G7">
        <f>('Trend Analysis'!E7+'Trend Analysis'!F7)/2</f>
        <v>0</v>
      </c>
    </row>
    <row r="8">
      <c r="A8">
        <v>2022</v>
      </c>
      <c r="B8">
        <v>19800</v>
      </c>
      <c r="C8">
        <v>0.062</v>
      </c>
      <c r="D8">
        <f>'Trend Analysis'!B8*'Trend Analysis'!C8</f>
        <v>0</v>
      </c>
      <c r="E8">
        <f>'Trend Analysis'!D8*(1+CPITrend)^(2025-'Trend Analysis'!A8)</f>
        <v>0</v>
      </c>
      <c r="F8">
        <f>'Trend Analysis'!D8*(1+MedicalTrend)^(2025-'Trend Analysis'!A8)</f>
        <v>0</v>
      </c>
      <c r="G8">
        <f>('Trend Analysis'!E8+'Trend Analysis'!F8)/2</f>
        <v>0</v>
      </c>
    </row>
    <row r="9">
      <c r="A9">
        <v>2023</v>
      </c>
      <c r="B9">
        <v>20600</v>
      </c>
      <c r="C9">
        <v>0.064</v>
      </c>
      <c r="D9">
        <f>'Trend Analysis'!B9*'Trend Analysis'!C9</f>
        <v>0</v>
      </c>
      <c r="E9">
        <f>'Trend Analysis'!D9*(1+CPITrend)^(2025-'Trend Analysis'!A9)</f>
        <v>0</v>
      </c>
      <c r="F9">
        <f>'Trend Analysis'!D9*(1+MedicalTrend)^(2025-'Trend Analysis'!A9)</f>
        <v>0</v>
      </c>
      <c r="G9">
        <f>('Trend Analysis'!E9+'Trend Analysis'!F9)/2</f>
        <v>0</v>
      </c>
    </row>
    <row r="10">
      <c r="A10">
        <v>2024</v>
      </c>
      <c r="B10">
        <v>21400</v>
      </c>
      <c r="C10">
        <v>0.066</v>
      </c>
      <c r="D10">
        <f>'Trend Analysis'!B10*'Trend Analysis'!C10</f>
        <v>0</v>
      </c>
      <c r="E10">
        <f>'Trend Analysis'!D10*(1+CPITrend)^(2025-'Trend Analysis'!A10)</f>
        <v>0</v>
      </c>
      <c r="F10">
        <f>'Trend Analysis'!D10*(1+MedicalTrend)^(2025-'Trend Analysis'!A10)</f>
        <v>0</v>
      </c>
      <c r="G10">
        <f>('Trend Analysis'!E10+'Trend Analysis'!F10)/2</f>
        <v>0</v>
      </c>
    </row>
    <row r="11">
      <c r="A11">
        <v>2025</v>
      </c>
      <c r="B11">
        <v>22200</v>
      </c>
      <c r="C11">
        <v>0.068</v>
      </c>
      <c r="D11">
        <f>'Trend Analysis'!B11*'Trend Analysis'!C11</f>
        <v>0</v>
      </c>
      <c r="E11">
        <f>'Trend Analysis'!D11*(1+CPITrend)^(2025-'Trend Analysis'!A11)</f>
        <v>0</v>
      </c>
      <c r="F11">
        <f>'Trend Analysis'!D11*(1+MedicalTrend)^(2025-'Trend Analysis'!A11)</f>
        <v>0</v>
      </c>
      <c r="G11">
        <f>('Trend Analysis'!E11+'Trend Analysis'!F11)/2</f>
        <v>0</v>
      </c>
    </row>
  </sheetData>
  <ignoredErrors>
    <ignoredError numberStoredAsText="1" sqref="A1:G1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LOB</v>
      </c>
      <c r="B1" t="str">
        <v>BF Method</v>
      </c>
      <c r="C1" t="str">
        <v>CL Method</v>
      </c>
      <c r="D1" t="str">
        <v>GB Method</v>
      </c>
      <c r="E1" t="str">
        <v>Selected</v>
      </c>
      <c r="F1" t="str">
        <v>Weight BF</v>
      </c>
      <c r="G1" t="str">
        <v>Weight CL</v>
      </c>
      <c r="H1" t="str">
        <v>Weight GB</v>
      </c>
    </row>
    <row r="2">
      <c r="A2" t="str">
        <v>Auto Liability</v>
      </c>
      <c r="B2">
        <f>SUM('IBNR Auto Liability'!E2:E11)*0.95</f>
        <v>0</v>
      </c>
      <c r="C2">
        <f>SUM('IBNR Auto Liability'!E2:E11)</f>
        <v>0</v>
      </c>
      <c r="D2">
        <f>SUM('IBNR Auto Liability'!E2:E11)*1.05</f>
        <v>0</v>
      </c>
      <c r="E2">
        <f>ACE!B2*ACE!F2+ACE!C2*ACE!G2+ACE!D2*ACE!H2</f>
        <v>0</v>
      </c>
      <c r="F2">
        <v>0.3</v>
      </c>
      <c r="G2">
        <v>0.5</v>
      </c>
      <c r="H2">
        <v>0.2</v>
      </c>
    </row>
    <row r="3">
      <c r="A3" t="str">
        <v>Auto Physical</v>
      </c>
      <c r="B3">
        <f>SUM('IBNR Auto Physical'!E2:E11)*0.95</f>
        <v>0</v>
      </c>
      <c r="C3">
        <f>SUM('IBNR Auto Physical'!E2:E11)</f>
        <v>0</v>
      </c>
      <c r="D3">
        <f>SUM('IBNR Auto Physical'!E2:E11)*1.05</f>
        <v>0</v>
      </c>
      <c r="E3">
        <f>ACE!B3*ACE!F3+ACE!C3*ACE!G3+ACE!D3*ACE!H3</f>
        <v>0</v>
      </c>
      <c r="F3">
        <v>0.3</v>
      </c>
      <c r="G3">
        <v>0.5</v>
      </c>
      <c r="H3">
        <v>0.2</v>
      </c>
    </row>
    <row r="4">
      <c r="A4" t="str">
        <v>General Liability</v>
      </c>
      <c r="B4">
        <f>SUM('IBNR General Liability'!E2:E11)*0.95</f>
        <v>0</v>
      </c>
      <c r="C4">
        <f>SUM('IBNR General Liability'!E2:E11)</f>
        <v>0</v>
      </c>
      <c r="D4">
        <f>SUM('IBNR General Liability'!E2:E11)*1.05</f>
        <v>0</v>
      </c>
      <c r="E4">
        <f>ACE!B4*ACE!F4+ACE!C4*ACE!G4+ACE!D4*ACE!H4</f>
        <v>0</v>
      </c>
      <c r="F4">
        <v>0.3</v>
      </c>
      <c r="G4">
        <v>0.5</v>
      </c>
      <c r="H4">
        <v>0.2</v>
      </c>
    </row>
    <row r="5">
      <c r="A5" t="str">
        <v>Workers Comp</v>
      </c>
      <c r="B5">
        <f>SUM('IBNR Workers Comp'!E2:E11)*0.95</f>
        <v>0</v>
      </c>
      <c r="C5">
        <f>SUM('IBNR Workers Comp'!E2:E11)</f>
        <v>0</v>
      </c>
      <c r="D5">
        <f>SUM('IBNR Workers Comp'!E2:E11)*1.05</f>
        <v>0</v>
      </c>
      <c r="E5">
        <f>ACE!B5*ACE!F5+ACE!C5*ACE!G5+ACE!D5*ACE!H5</f>
        <v>0</v>
      </c>
      <c r="F5">
        <v>0.3</v>
      </c>
      <c r="G5">
        <v>0.5</v>
      </c>
      <c r="H5">
        <v>0.2</v>
      </c>
    </row>
    <row r="6">
      <c r="A6" t="str">
        <v>Commercial Property</v>
      </c>
      <c r="B6">
        <f>SUM('IBNR Commercial Property'!E2:E11)*0.95</f>
        <v>0</v>
      </c>
      <c r="C6">
        <f>SUM('IBNR Commercial Property'!E2:E11)</f>
        <v>0</v>
      </c>
      <c r="D6">
        <f>SUM('IBNR Commercial Property'!E2:E11)*1.05</f>
        <v>0</v>
      </c>
      <c r="E6">
        <f>ACE!B6*ACE!F6+ACE!C6*ACE!G6+ACE!D6*ACE!H6</f>
        <v>0</v>
      </c>
      <c r="F6">
        <v>0.3</v>
      </c>
      <c r="G6">
        <v>0.5</v>
      </c>
      <c r="H6">
        <v>0.2</v>
      </c>
    </row>
    <row r="7">
      <c r="A7" t="str">
        <v>Professional Liab</v>
      </c>
      <c r="B7">
        <f>SUM('IBNR Professional Liab'!E2:E11)*0.95</f>
        <v>0</v>
      </c>
      <c r="C7">
        <f>SUM('IBNR Professional Liab'!E2:E11)</f>
        <v>0</v>
      </c>
      <c r="D7">
        <f>SUM('IBNR Professional Liab'!E2:E11)*1.05</f>
        <v>0</v>
      </c>
      <c r="E7">
        <f>ACE!B7*ACE!F7+ACE!C7*ACE!G7+ACE!D7*ACE!H7</f>
        <v>0</v>
      </c>
      <c r="F7">
        <v>0.3</v>
      </c>
      <c r="G7">
        <v>0.5</v>
      </c>
      <c r="H7">
        <v>0.2</v>
      </c>
    </row>
    <row r="8">
      <c r="A8" t="str">
        <v>Umbrella</v>
      </c>
      <c r="B8">
        <f>SUM('IBNR Umbrella'!E2:E11)*0.95</f>
        <v>0</v>
      </c>
      <c r="C8">
        <f>SUM('IBNR Umbrella'!E2:E11)</f>
        <v>0</v>
      </c>
      <c r="D8">
        <f>SUM('IBNR Umbrella'!E2:E11)*1.05</f>
        <v>0</v>
      </c>
      <c r="E8">
        <f>ACE!B8*ACE!F8+ACE!C8*ACE!G8+ACE!D8*ACE!H8</f>
        <v>0</v>
      </c>
      <c r="F8">
        <v>0.3</v>
      </c>
      <c r="G8">
        <v>0.5</v>
      </c>
      <c r="H8">
        <v>0.2</v>
      </c>
    </row>
    <row r="9">
      <c r="A9" t="str">
        <v>Medical Malpractice</v>
      </c>
      <c r="B9">
        <f>SUM('IBNR Medical Malpractice'!E2:E11)*0.95</f>
        <v>0</v>
      </c>
      <c r="C9">
        <f>SUM('IBNR Medical Malpractice'!E2:E11)</f>
        <v>0</v>
      </c>
      <c r="D9">
        <f>SUM('IBNR Medical Malpractice'!E2:E11)*1.05</f>
        <v>0</v>
      </c>
      <c r="E9">
        <f>ACE!B9*ACE!F9+ACE!C9*ACE!G9+ACE!D9*ACE!H9</f>
        <v>0</v>
      </c>
      <c r="F9">
        <v>0.3</v>
      </c>
      <c r="G9">
        <v>0.5</v>
      </c>
      <c r="H9">
        <v>0.2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Assumptions</vt:lpstr>
      <vt:lpstr>Exposure Summary</vt:lpstr>
      <vt:lpstr>Tri Auto Liability</vt:lpstr>
      <vt:lpstr>DF Auto Liability</vt:lpstr>
      <vt:lpstr>IBNR Auto Liability</vt:lpstr>
      <vt:lpstr>Tri Auto Physical</vt:lpstr>
      <vt:lpstr>DF Auto Physical</vt:lpstr>
      <vt:lpstr>IBNR Auto Physical</vt:lpstr>
      <vt:lpstr>Tri General Liability</vt:lpstr>
      <vt:lpstr>DF General Liability</vt:lpstr>
      <vt:lpstr>IBNR General Liability</vt:lpstr>
      <vt:lpstr>Tri Workers Comp</vt:lpstr>
      <vt:lpstr>DF Workers Comp</vt:lpstr>
      <vt:lpstr>IBNR Workers Comp</vt:lpstr>
      <vt:lpstr>Tri Commercial Property</vt:lpstr>
      <vt:lpstr>DF Commercial Property</vt:lpstr>
      <vt:lpstr>IBNR Commercial Property</vt:lpstr>
      <vt:lpstr>Tri Professional Liab</vt:lpstr>
      <vt:lpstr>DF Professional Liab</vt:lpstr>
      <vt:lpstr>IBNR Professional Liab</vt:lpstr>
      <vt:lpstr>Tri Umbrella</vt:lpstr>
      <vt:lpstr>DF Umbrella</vt:lpstr>
      <vt:lpstr>IBNR Umbrella</vt:lpstr>
      <vt:lpstr>Tri Medical Malpractice</vt:lpstr>
      <vt:lpstr>DF Medical Malpractice</vt:lpstr>
      <vt:lpstr>IBNR Medical Malpractice</vt:lpstr>
      <vt:lpstr>Reserve Summary</vt:lpstr>
      <vt:lpstr>LDF Summary</vt:lpstr>
      <vt:lpstr>Trend Analysis</vt:lpstr>
      <vt:lpstr>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
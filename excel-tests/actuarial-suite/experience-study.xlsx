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y Parameters" sheetId="1" r:id="rId1"/>
    <sheet name="Standard Table" sheetId="2" r:id="rId2"/>
    <sheet name="Exp Term Life" sheetId="3" r:id="rId3"/>
    <sheet name="Exp Whole Life" sheetId="4" r:id="rId4"/>
    <sheet name="Exp Universal Life" sheetId="5" r:id="rId5"/>
    <sheet name="Exp Variable Life" sheetId="6" r:id="rId6"/>
    <sheet name="Exp Group Life" sheetId="7" r:id="rId7"/>
    <sheet name="AE Term Life" sheetId="8" r:id="rId8"/>
    <sheet name="AE Whole Life" sheetId="9" r:id="rId9"/>
    <sheet name="AE Universal Life" sheetId="10" r:id="rId10"/>
    <sheet name="AE Variable Life" sheetId="11" r:id="rId11"/>
    <sheet name="AE Group Life" sheetId="12" r:id="rId12"/>
    <sheet name="Dec Mortality" sheetId="13" r:id="rId13"/>
    <sheet name="Dec Lapse" sheetId="14" r:id="rId14"/>
    <sheet name="Dec Disability" sheetId="15" r:id="rId15"/>
    <sheet name="Dec Recovery" sheetId="16" r:id="rId16"/>
    <sheet name="Dec Retirement" sheetId="17" r:id="rId17"/>
    <sheet name="Study Summary" sheetId="18" r:id="rId18"/>
  </sheets>
  <definedNames>
    <definedName name="CredStandard">'Study Parameters'!$B$6</definedName>
    <definedName name="FullCredClaims">'Study Parameters'!$B$7</definedName>
    <definedName name="SignifLevel">'Study Parameters'!$B$8</definedName>
    <definedName name="MADPct">'Study Parameters'!$B$11</definedName>
    <definedName name="SmoothFactor">'Study Parameters'!$B$12</definedName>
    <definedName name="StdMortality">'Standard Table'!$A$1:$F$83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Experience Study Parameters</v>
      </c>
    </row>
    <row r="2">
      <c r="A2" t="str">
        <v>Study Period</v>
      </c>
      <c r="B2" t="str">
        <v>2019-2024</v>
      </c>
    </row>
    <row r="3">
      <c r="A3" t="str">
        <v>Valuation Date</v>
      </c>
      <c r="B3" t="str">
        <v>12/31/2024</v>
      </c>
    </row>
    <row r="4">
      <c r="A4" t="str">
        <v/>
      </c>
    </row>
    <row r="5">
      <c r="A5" t="str">
        <v>Parameter</v>
      </c>
      <c r="B5" t="str">
        <v>Value</v>
      </c>
    </row>
    <row r="6">
      <c r="A6" t="str">
        <v>Credibility Standard</v>
      </c>
      <c r="B6">
        <v>1082</v>
      </c>
    </row>
    <row r="7">
      <c r="A7" t="str">
        <v>Full Credibility Claims</v>
      </c>
      <c r="B7">
        <v>200</v>
      </c>
    </row>
    <row r="8">
      <c r="A8" t="str">
        <v>Significance Level</v>
      </c>
      <c r="B8">
        <v>0.05</v>
      </c>
    </row>
    <row r="9">
      <c r="A9" t="str">
        <v>Expected Table</v>
      </c>
      <c r="B9" t="str">
        <v>SOA 2017 CSO</v>
      </c>
    </row>
    <row r="10">
      <c r="A10" t="str">
        <v>Improvement Scale</v>
      </c>
      <c r="B10" t="str">
        <v>MP-2024</v>
      </c>
    </row>
    <row r="11">
      <c r="A11" t="str">
        <v>Margin for Adverse Dev</v>
      </c>
      <c r="B11">
        <v>0.1</v>
      </c>
    </row>
    <row r="12">
      <c r="A12" t="str">
        <v>Smoothing Factor</v>
      </c>
      <c r="B12">
        <v>0.25</v>
      </c>
    </row>
  </sheetData>
  <ignoredErrors>
    <ignoredError numberStoredAsText="1" sqref="A1:B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83"/>
  <sheetViews>
    <sheetView workbookViewId="0"/>
  </sheetViews>
  <sheetData>
    <row r="1">
      <c r="A1" t="str">
        <v>Age</v>
      </c>
      <c r="B1" t="str">
        <v>qx Male</v>
      </c>
      <c r="C1" t="str">
        <v>qx Female</v>
      </c>
      <c r="D1" t="str">
        <v>qx Unisex</v>
      </c>
      <c r="E1" t="str">
        <v>Improvement Male</v>
      </c>
      <c r="F1" t="str">
        <v>Improvement Female</v>
      </c>
    </row>
    <row r="2">
      <c r="A2">
        <v>18</v>
      </c>
      <c r="B2">
        <v>0.0005</v>
      </c>
      <c r="C2">
        <v>0.0004</v>
      </c>
      <c r="D2">
        <f>('Standard Table'!B2+'Standard Table'!C2)/2</f>
        <v>0</v>
      </c>
      <c r="E2">
        <v>0.0091</v>
      </c>
      <c r="F2">
        <v>0.0109</v>
      </c>
    </row>
    <row r="3">
      <c r="A3">
        <v>19</v>
      </c>
      <c r="B3">
        <v>0.0005</v>
      </c>
      <c r="C3">
        <v>0.0005</v>
      </c>
      <c r="D3">
        <f>('Standard Table'!B3+'Standard Table'!C3)/2</f>
        <v>0</v>
      </c>
      <c r="E3">
        <v>0.0091</v>
      </c>
      <c r="F3">
        <v>0.0109</v>
      </c>
    </row>
    <row r="4">
      <c r="A4">
        <v>20</v>
      </c>
      <c r="B4">
        <v>0.0006</v>
      </c>
      <c r="C4">
        <v>0.0005</v>
      </c>
      <c r="D4">
        <f>('Standard Table'!B4+'Standard Table'!C4)/2</f>
        <v>0</v>
      </c>
      <c r="E4">
        <v>0.009</v>
      </c>
      <c r="F4">
        <v>0.0108</v>
      </c>
    </row>
    <row r="5">
      <c r="A5">
        <v>21</v>
      </c>
      <c r="B5">
        <v>0.0006</v>
      </c>
      <c r="C5">
        <v>0.0005</v>
      </c>
      <c r="D5">
        <f>('Standard Table'!B5+'Standard Table'!C5)/2</f>
        <v>0</v>
      </c>
      <c r="E5">
        <v>0.009</v>
      </c>
      <c r="F5">
        <v>0.0107</v>
      </c>
    </row>
    <row r="6">
      <c r="A6">
        <v>22</v>
      </c>
      <c r="B6">
        <v>0.0006</v>
      </c>
      <c r="C6">
        <v>0.0005</v>
      </c>
      <c r="D6">
        <f>('Standard Table'!B6+'Standard Table'!C6)/2</f>
        <v>0</v>
      </c>
      <c r="E6">
        <v>0.0089</v>
      </c>
      <c r="F6">
        <v>0.0107</v>
      </c>
    </row>
    <row r="7">
      <c r="A7">
        <v>23</v>
      </c>
      <c r="B7">
        <v>0.0007</v>
      </c>
      <c r="C7">
        <v>0.0006</v>
      </c>
      <c r="D7">
        <f>('Standard Table'!B7+'Standard Table'!C7)/2</f>
        <v>0</v>
      </c>
      <c r="E7">
        <v>0.0089</v>
      </c>
      <c r="F7">
        <v>0.0106</v>
      </c>
    </row>
    <row r="8">
      <c r="A8">
        <v>24</v>
      </c>
      <c r="B8">
        <v>0.0007</v>
      </c>
      <c r="C8">
        <v>0.0006</v>
      </c>
      <c r="D8">
        <f>('Standard Table'!B8+'Standard Table'!C8)/2</f>
        <v>0</v>
      </c>
      <c r="E8">
        <v>0.0088</v>
      </c>
      <c r="F8">
        <v>0.0106</v>
      </c>
    </row>
    <row r="9">
      <c r="A9">
        <v>25</v>
      </c>
      <c r="B9">
        <v>0.0008</v>
      </c>
      <c r="C9">
        <v>0.0006</v>
      </c>
      <c r="D9">
        <f>('Standard Table'!B9+'Standard Table'!C9)/2</f>
        <v>0</v>
      </c>
      <c r="E9">
        <v>0.0088</v>
      </c>
      <c r="F9">
        <v>0.0105</v>
      </c>
    </row>
    <row r="10">
      <c r="A10">
        <v>26</v>
      </c>
      <c r="B10">
        <v>0.0008</v>
      </c>
      <c r="C10">
        <v>0.0007</v>
      </c>
      <c r="D10">
        <f>('Standard Table'!B10+'Standard Table'!C10)/2</f>
        <v>0</v>
      </c>
      <c r="E10">
        <v>0.0087</v>
      </c>
      <c r="F10">
        <v>0.0104</v>
      </c>
    </row>
    <row r="11">
      <c r="A11">
        <v>27</v>
      </c>
      <c r="B11">
        <v>0.0009</v>
      </c>
      <c r="C11">
        <v>0.0007</v>
      </c>
      <c r="D11">
        <f>('Standard Table'!B11+'Standard Table'!C11)/2</f>
        <v>0</v>
      </c>
      <c r="E11">
        <v>0.0087</v>
      </c>
      <c r="F11">
        <v>0.0104</v>
      </c>
    </row>
    <row r="12">
      <c r="A12">
        <v>28</v>
      </c>
      <c r="B12">
        <v>0.0009</v>
      </c>
      <c r="C12">
        <v>0.0008</v>
      </c>
      <c r="D12">
        <f>('Standard Table'!B12+'Standard Table'!C12)/2</f>
        <v>0</v>
      </c>
      <c r="E12">
        <v>0.0086</v>
      </c>
      <c r="F12">
        <v>0.0103</v>
      </c>
    </row>
    <row r="13">
      <c r="A13">
        <v>29</v>
      </c>
      <c r="B13">
        <v>0.001</v>
      </c>
      <c r="C13">
        <v>0.0008</v>
      </c>
      <c r="D13">
        <f>('Standard Table'!B13+'Standard Table'!C13)/2</f>
        <v>0</v>
      </c>
      <c r="E13">
        <v>0.0086</v>
      </c>
      <c r="F13">
        <v>0.0103</v>
      </c>
    </row>
    <row r="14">
      <c r="A14">
        <v>30</v>
      </c>
      <c r="B14">
        <v>0.001</v>
      </c>
      <c r="C14">
        <v>0.0009</v>
      </c>
      <c r="D14">
        <f>('Standard Table'!B14+'Standard Table'!C14)/2</f>
        <v>0</v>
      </c>
      <c r="E14">
        <v>0.0085</v>
      </c>
      <c r="F14">
        <v>0.0102</v>
      </c>
    </row>
    <row r="15">
      <c r="A15">
        <v>31</v>
      </c>
      <c r="B15">
        <v>0.0011</v>
      </c>
      <c r="C15">
        <v>0.0009</v>
      </c>
      <c r="D15">
        <f>('Standard Table'!B15+'Standard Table'!C15)/2</f>
        <v>0</v>
      </c>
      <c r="E15">
        <v>0.0084</v>
      </c>
      <c r="F15">
        <v>0.0101</v>
      </c>
    </row>
    <row r="16">
      <c r="A16">
        <v>32</v>
      </c>
      <c r="B16">
        <v>0.0012</v>
      </c>
      <c r="C16">
        <v>0.001</v>
      </c>
      <c r="D16">
        <f>('Standard Table'!B16+'Standard Table'!C16)/2</f>
        <v>0</v>
      </c>
      <c r="E16">
        <v>0.0084</v>
      </c>
      <c r="F16">
        <v>0.0101</v>
      </c>
    </row>
    <row r="17">
      <c r="A17">
        <v>33</v>
      </c>
      <c r="B17">
        <v>0.0012</v>
      </c>
      <c r="C17">
        <v>0.001</v>
      </c>
      <c r="D17">
        <f>('Standard Table'!B17+'Standard Table'!C17)/2</f>
        <v>0</v>
      </c>
      <c r="E17">
        <v>0.0084</v>
      </c>
      <c r="F17">
        <v>0.01</v>
      </c>
    </row>
    <row r="18">
      <c r="A18">
        <v>34</v>
      </c>
      <c r="B18">
        <v>0.0013</v>
      </c>
      <c r="C18">
        <v>0.0011</v>
      </c>
      <c r="D18">
        <f>('Standard Table'!B18+'Standard Table'!C18)/2</f>
        <v>0</v>
      </c>
      <c r="E18">
        <v>0.0083</v>
      </c>
      <c r="F18">
        <v>0.01</v>
      </c>
    </row>
    <row r="19">
      <c r="A19">
        <v>35</v>
      </c>
      <c r="B19">
        <v>0.0014</v>
      </c>
      <c r="C19">
        <v>0.0012</v>
      </c>
      <c r="D19">
        <f>('Standard Table'!B19+'Standard Table'!C19)/2</f>
        <v>0</v>
      </c>
      <c r="E19">
        <v>0.0083</v>
      </c>
      <c r="F19">
        <v>0.0099</v>
      </c>
    </row>
    <row r="20">
      <c r="A20">
        <v>36</v>
      </c>
      <c r="B20">
        <v>0.0015</v>
      </c>
      <c r="C20">
        <v>0.0013</v>
      </c>
      <c r="D20">
        <f>('Standard Table'!B20+'Standard Table'!C20)/2</f>
        <v>0</v>
      </c>
      <c r="E20">
        <v>0.0082</v>
      </c>
      <c r="F20">
        <v>0.0098</v>
      </c>
    </row>
    <row r="21">
      <c r="A21">
        <v>37</v>
      </c>
      <c r="B21">
        <v>0.0016</v>
      </c>
      <c r="C21">
        <v>0.0013</v>
      </c>
      <c r="D21">
        <f>('Standard Table'!B21+'Standard Table'!C21)/2</f>
        <v>0</v>
      </c>
      <c r="E21">
        <v>0.0081</v>
      </c>
      <c r="F21">
        <v>0.0098</v>
      </c>
    </row>
    <row r="22">
      <c r="A22">
        <v>38</v>
      </c>
      <c r="B22">
        <v>0.0017</v>
      </c>
      <c r="C22">
        <v>0.0014</v>
      </c>
      <c r="D22">
        <f>('Standard Table'!B22+'Standard Table'!C22)/2</f>
        <v>0</v>
      </c>
      <c r="E22">
        <v>0.0081</v>
      </c>
      <c r="F22">
        <v>0.0097</v>
      </c>
    </row>
    <row r="23">
      <c r="A23">
        <v>39</v>
      </c>
      <c r="B23">
        <v>0.0018</v>
      </c>
      <c r="C23">
        <v>0.0015</v>
      </c>
      <c r="D23">
        <f>('Standard Table'!B23+'Standard Table'!C23)/2</f>
        <v>0</v>
      </c>
      <c r="E23">
        <v>0.0081</v>
      </c>
      <c r="F23">
        <v>0.0097</v>
      </c>
    </row>
    <row r="24">
      <c r="A24">
        <v>40</v>
      </c>
      <c r="B24">
        <v>0.0019</v>
      </c>
      <c r="C24">
        <v>0.0016</v>
      </c>
      <c r="D24">
        <f>('Standard Table'!B24+'Standard Table'!C24)/2</f>
        <v>0</v>
      </c>
      <c r="E24">
        <v>0.008</v>
      </c>
      <c r="F24">
        <v>0.0096</v>
      </c>
    </row>
    <row r="25">
      <c r="A25">
        <v>41</v>
      </c>
      <c r="B25">
        <v>0.002</v>
      </c>
      <c r="C25">
        <v>0.0017</v>
      </c>
      <c r="D25">
        <f>('Standard Table'!B25+'Standard Table'!C25)/2</f>
        <v>0</v>
      </c>
      <c r="E25">
        <v>0.008</v>
      </c>
      <c r="F25">
        <v>0.0095</v>
      </c>
    </row>
    <row r="26">
      <c r="A26">
        <v>42</v>
      </c>
      <c r="B26">
        <v>0.0021</v>
      </c>
      <c r="C26">
        <v>0.0018</v>
      </c>
      <c r="D26">
        <f>('Standard Table'!B26+'Standard Table'!C26)/2</f>
        <v>0</v>
      </c>
      <c r="E26">
        <v>0.0079</v>
      </c>
      <c r="F26">
        <v>0.0095</v>
      </c>
    </row>
    <row r="27">
      <c r="A27">
        <v>43</v>
      </c>
      <c r="B27">
        <v>0.0022</v>
      </c>
      <c r="C27">
        <v>0.0019</v>
      </c>
      <c r="D27">
        <f>('Standard Table'!B27+'Standard Table'!C27)/2</f>
        <v>0</v>
      </c>
      <c r="E27">
        <v>0.0079</v>
      </c>
      <c r="F27">
        <v>0.0094</v>
      </c>
    </row>
    <row r="28">
      <c r="A28">
        <v>44</v>
      </c>
      <c r="B28">
        <v>0.0024</v>
      </c>
      <c r="C28">
        <v>0.002</v>
      </c>
      <c r="D28">
        <f>('Standard Table'!B28+'Standard Table'!C28)/2</f>
        <v>0</v>
      </c>
      <c r="E28">
        <v>0.0078</v>
      </c>
      <c r="F28">
        <v>0.0094</v>
      </c>
    </row>
    <row r="29">
      <c r="A29">
        <v>45</v>
      </c>
      <c r="B29">
        <v>0.0025</v>
      </c>
      <c r="C29">
        <v>0.0021</v>
      </c>
      <c r="D29">
        <f>('Standard Table'!B29+'Standard Table'!C29)/2</f>
        <v>0</v>
      </c>
      <c r="E29">
        <v>0.0078</v>
      </c>
      <c r="F29">
        <v>0.0093</v>
      </c>
    </row>
    <row r="30">
      <c r="A30">
        <v>46</v>
      </c>
      <c r="B30">
        <v>0.0027</v>
      </c>
      <c r="C30">
        <v>0.0023</v>
      </c>
      <c r="D30">
        <f>('Standard Table'!B30+'Standard Table'!C30)/2</f>
        <v>0</v>
      </c>
      <c r="E30">
        <v>0.0077</v>
      </c>
      <c r="F30">
        <v>0.0092</v>
      </c>
    </row>
    <row r="31">
      <c r="A31">
        <v>47</v>
      </c>
      <c r="B31">
        <v>0.0028</v>
      </c>
      <c r="C31">
        <v>0.0024</v>
      </c>
      <c r="D31">
        <f>('Standard Table'!B31+'Standard Table'!C31)/2</f>
        <v>0</v>
      </c>
      <c r="E31">
        <v>0.0077</v>
      </c>
      <c r="F31">
        <v>0.0092</v>
      </c>
    </row>
    <row r="32">
      <c r="A32">
        <v>48</v>
      </c>
      <c r="B32">
        <v>0.003</v>
      </c>
      <c r="C32">
        <v>0.0026</v>
      </c>
      <c r="D32">
        <f>('Standard Table'!B32+'Standard Table'!C32)/2</f>
        <v>0</v>
      </c>
      <c r="E32">
        <v>0.0076</v>
      </c>
      <c r="F32">
        <v>0.0091</v>
      </c>
    </row>
    <row r="33">
      <c r="A33">
        <v>49</v>
      </c>
      <c r="B33">
        <v>0.0032</v>
      </c>
      <c r="C33">
        <v>0.0027</v>
      </c>
      <c r="D33">
        <f>('Standard Table'!B33+'Standard Table'!C33)/2</f>
        <v>0</v>
      </c>
      <c r="E33">
        <v>0.0076</v>
      </c>
      <c r="F33">
        <v>0.0091</v>
      </c>
    </row>
    <row r="34">
      <c r="A34">
        <v>50</v>
      </c>
      <c r="B34">
        <v>0.0034</v>
      </c>
      <c r="C34">
        <v>0.0029</v>
      </c>
      <c r="D34">
        <f>('Standard Table'!B34+'Standard Table'!C34)/2</f>
        <v>0</v>
      </c>
      <c r="E34">
        <v>0.0075</v>
      </c>
      <c r="F34">
        <v>0.009</v>
      </c>
    </row>
    <row r="35">
      <c r="A35">
        <v>51</v>
      </c>
      <c r="B35">
        <v>0.0036</v>
      </c>
      <c r="C35">
        <v>0.0031</v>
      </c>
      <c r="D35">
        <f>('Standard Table'!B35+'Standard Table'!C35)/2</f>
        <v>0</v>
      </c>
      <c r="E35">
        <v>0.0075</v>
      </c>
      <c r="F35">
        <v>0.0089</v>
      </c>
    </row>
    <row r="36">
      <c r="A36">
        <v>52</v>
      </c>
      <c r="B36">
        <v>0.0038</v>
      </c>
      <c r="C36">
        <v>0.0033</v>
      </c>
      <c r="D36">
        <f>('Standard Table'!B36+'Standard Table'!C36)/2</f>
        <v>0</v>
      </c>
      <c r="E36">
        <v>0.0074</v>
      </c>
      <c r="F36">
        <v>0.0089</v>
      </c>
    </row>
    <row r="37">
      <c r="A37">
        <v>53</v>
      </c>
      <c r="B37">
        <v>0.0041</v>
      </c>
      <c r="C37">
        <v>0.0035</v>
      </c>
      <c r="D37">
        <f>('Standard Table'!B37+'Standard Table'!C37)/2</f>
        <v>0</v>
      </c>
      <c r="E37">
        <v>0.0074</v>
      </c>
      <c r="F37">
        <v>0.0088</v>
      </c>
    </row>
    <row r="38">
      <c r="A38">
        <v>54</v>
      </c>
      <c r="B38">
        <v>0.0043</v>
      </c>
      <c r="C38">
        <v>0.0037</v>
      </c>
      <c r="D38">
        <f>('Standard Table'!B38+'Standard Table'!C38)/2</f>
        <v>0</v>
      </c>
      <c r="E38">
        <v>0.0073</v>
      </c>
      <c r="F38">
        <v>0.0088</v>
      </c>
    </row>
    <row r="39">
      <c r="A39">
        <v>55</v>
      </c>
      <c r="B39">
        <v>0.0046</v>
      </c>
      <c r="C39">
        <v>0.0039</v>
      </c>
      <c r="D39">
        <f>('Standard Table'!B39+'Standard Table'!C39)/2</f>
        <v>0</v>
      </c>
      <c r="E39">
        <v>0.0073</v>
      </c>
      <c r="F39">
        <v>0.0087</v>
      </c>
    </row>
    <row r="40">
      <c r="A40">
        <v>56</v>
      </c>
      <c r="B40">
        <v>0.0049</v>
      </c>
      <c r="C40">
        <v>0.0042</v>
      </c>
      <c r="D40">
        <f>('Standard Table'!B40+'Standard Table'!C40)/2</f>
        <v>0</v>
      </c>
      <c r="E40">
        <v>0.0072</v>
      </c>
      <c r="F40">
        <v>0.0086</v>
      </c>
    </row>
    <row r="41">
      <c r="A41">
        <v>57</v>
      </c>
      <c r="B41">
        <v>0.0052</v>
      </c>
      <c r="C41">
        <v>0.0044</v>
      </c>
      <c r="D41">
        <f>('Standard Table'!B41+'Standard Table'!C41)/2</f>
        <v>0</v>
      </c>
      <c r="E41">
        <v>0.0072</v>
      </c>
      <c r="F41">
        <v>0.0086</v>
      </c>
    </row>
    <row r="42">
      <c r="A42">
        <v>58</v>
      </c>
      <c r="B42">
        <v>0.0055</v>
      </c>
      <c r="C42">
        <v>0.0047</v>
      </c>
      <c r="D42">
        <f>('Standard Table'!B42+'Standard Table'!C42)/2</f>
        <v>0</v>
      </c>
      <c r="E42">
        <v>0.0071</v>
      </c>
      <c r="F42">
        <v>0.0085</v>
      </c>
    </row>
    <row r="43">
      <c r="A43">
        <v>59</v>
      </c>
      <c r="B43">
        <v>0.0059</v>
      </c>
      <c r="C43">
        <v>0.005</v>
      </c>
      <c r="D43">
        <f>('Standard Table'!B43+'Standard Table'!C43)/2</f>
        <v>0</v>
      </c>
      <c r="E43">
        <v>0.0071</v>
      </c>
      <c r="F43">
        <v>0.0085</v>
      </c>
    </row>
    <row r="44">
      <c r="A44">
        <v>60</v>
      </c>
      <c r="B44">
        <v>0.0062</v>
      </c>
      <c r="C44">
        <v>0.0053</v>
      </c>
      <c r="D44">
        <f>('Standard Table'!B44+'Standard Table'!C44)/2</f>
        <v>0</v>
      </c>
      <c r="E44">
        <v>0.007</v>
      </c>
      <c r="F44">
        <v>0.0084</v>
      </c>
    </row>
    <row r="45">
      <c r="A45">
        <v>61</v>
      </c>
      <c r="B45">
        <v>0.0066</v>
      </c>
      <c r="C45">
        <v>0.0056</v>
      </c>
      <c r="D45">
        <f>('Standard Table'!B45+'Standard Table'!C45)/2</f>
        <v>0</v>
      </c>
      <c r="E45">
        <v>0.007</v>
      </c>
      <c r="F45">
        <v>0.0083</v>
      </c>
    </row>
    <row r="46">
      <c r="A46">
        <v>62</v>
      </c>
      <c r="B46">
        <v>0.007</v>
      </c>
      <c r="C46">
        <v>0.006</v>
      </c>
      <c r="D46">
        <f>('Standard Table'!B46+'Standard Table'!C46)/2</f>
        <v>0</v>
      </c>
      <c r="E46">
        <v>0.0069</v>
      </c>
      <c r="F46">
        <v>0.0083</v>
      </c>
    </row>
    <row r="47">
      <c r="A47">
        <v>63</v>
      </c>
      <c r="B47">
        <v>0.0074</v>
      </c>
      <c r="C47">
        <v>0.0063</v>
      </c>
      <c r="D47">
        <f>('Standard Table'!B47+'Standard Table'!C47)/2</f>
        <v>0</v>
      </c>
      <c r="E47">
        <v>0.0069</v>
      </c>
      <c r="F47">
        <v>0.0082</v>
      </c>
    </row>
    <row r="48">
      <c r="A48">
        <v>64</v>
      </c>
      <c r="B48">
        <v>0.0079</v>
      </c>
      <c r="C48">
        <v>0.0067</v>
      </c>
      <c r="D48">
        <f>('Standard Table'!B48+'Standard Table'!C48)/2</f>
        <v>0</v>
      </c>
      <c r="E48">
        <v>0.0068</v>
      </c>
      <c r="F48">
        <v>0.0082</v>
      </c>
    </row>
    <row r="49">
      <c r="A49">
        <v>65</v>
      </c>
      <c r="B49">
        <v>0.0084</v>
      </c>
      <c r="C49">
        <v>0.0071</v>
      </c>
      <c r="D49">
        <f>('Standard Table'!B49+'Standard Table'!C49)/2</f>
        <v>0</v>
      </c>
      <c r="E49">
        <v>0.0068</v>
      </c>
      <c r="F49">
        <v>0.0081</v>
      </c>
    </row>
    <row r="50">
      <c r="A50">
        <v>66</v>
      </c>
      <c r="B50">
        <v>0.0089</v>
      </c>
      <c r="C50">
        <v>0.0076</v>
      </c>
      <c r="D50">
        <f>('Standard Table'!B50+'Standard Table'!C50)/2</f>
        <v>0</v>
      </c>
      <c r="E50">
        <v>0.0067</v>
      </c>
      <c r="F50">
        <v>0.008</v>
      </c>
    </row>
    <row r="51">
      <c r="A51">
        <v>67</v>
      </c>
      <c r="B51">
        <v>0.0095</v>
      </c>
      <c r="C51">
        <v>0.008</v>
      </c>
      <c r="D51">
        <f>('Standard Table'!B51+'Standard Table'!C51)/2</f>
        <v>0</v>
      </c>
      <c r="E51">
        <v>0.0067</v>
      </c>
      <c r="F51">
        <v>0.008</v>
      </c>
    </row>
    <row r="52">
      <c r="A52">
        <v>68</v>
      </c>
      <c r="B52">
        <v>0.01</v>
      </c>
      <c r="C52">
        <v>0.0085</v>
      </c>
      <c r="D52">
        <f>('Standard Table'!B52+'Standard Table'!C52)/2</f>
        <v>0</v>
      </c>
      <c r="E52">
        <v>0.0066</v>
      </c>
      <c r="F52">
        <v>0.0079</v>
      </c>
    </row>
    <row r="53">
      <c r="A53">
        <v>69</v>
      </c>
      <c r="B53">
        <v>0.0107</v>
      </c>
      <c r="C53">
        <v>0.0091</v>
      </c>
      <c r="D53">
        <f>('Standard Table'!B53+'Standard Table'!C53)/2</f>
        <v>0</v>
      </c>
      <c r="E53">
        <v>0.0066</v>
      </c>
      <c r="F53">
        <v>0.0079</v>
      </c>
    </row>
    <row r="54">
      <c r="A54">
        <v>70</v>
      </c>
      <c r="B54">
        <v>0.0113</v>
      </c>
      <c r="C54">
        <v>0.0096</v>
      </c>
      <c r="D54">
        <f>('Standard Table'!B54+'Standard Table'!C54)/2</f>
        <v>0</v>
      </c>
      <c r="E54">
        <v>0.0065</v>
      </c>
      <c r="F54">
        <v>0.0078</v>
      </c>
    </row>
    <row r="55">
      <c r="A55">
        <v>71</v>
      </c>
      <c r="B55">
        <v>0.012</v>
      </c>
      <c r="C55">
        <v>0.0102</v>
      </c>
      <c r="D55">
        <f>('Standard Table'!B55+'Standard Table'!C55)/2</f>
        <v>0</v>
      </c>
      <c r="E55">
        <v>0.0065</v>
      </c>
      <c r="F55">
        <v>0.0077</v>
      </c>
    </row>
    <row r="56">
      <c r="A56">
        <v>72</v>
      </c>
      <c r="B56">
        <v>0.0128</v>
      </c>
      <c r="C56">
        <v>0.0109</v>
      </c>
      <c r="D56">
        <f>('Standard Table'!B56+'Standard Table'!C56)/2</f>
        <v>0</v>
      </c>
      <c r="E56">
        <v>0.0064</v>
      </c>
      <c r="F56">
        <v>0.0077</v>
      </c>
    </row>
    <row r="57">
      <c r="A57">
        <v>73</v>
      </c>
      <c r="B57">
        <v>0.0136</v>
      </c>
      <c r="C57">
        <v>0.0115</v>
      </c>
      <c r="D57">
        <f>('Standard Table'!B57+'Standard Table'!C57)/2</f>
        <v>0</v>
      </c>
      <c r="E57">
        <v>0.0064</v>
      </c>
      <c r="F57">
        <v>0.0076</v>
      </c>
    </row>
    <row r="58">
      <c r="A58">
        <v>74</v>
      </c>
      <c r="B58">
        <v>0.0144</v>
      </c>
      <c r="C58">
        <v>0.0122</v>
      </c>
      <c r="D58">
        <f>('Standard Table'!B58+'Standard Table'!C58)/2</f>
        <v>0</v>
      </c>
      <c r="E58">
        <v>0.0063</v>
      </c>
      <c r="F58">
        <v>0.0076</v>
      </c>
    </row>
    <row r="59">
      <c r="A59">
        <v>75</v>
      </c>
      <c r="B59">
        <v>0.0153</v>
      </c>
      <c r="C59">
        <v>0.013</v>
      </c>
      <c r="D59">
        <f>('Standard Table'!B59+'Standard Table'!C59)/2</f>
        <v>0</v>
      </c>
      <c r="E59">
        <v>0.0063</v>
      </c>
      <c r="F59">
        <v>0.0075</v>
      </c>
    </row>
    <row r="60">
      <c r="A60">
        <v>76</v>
      </c>
      <c r="B60">
        <v>0.0162</v>
      </c>
      <c r="C60">
        <v>0.0138</v>
      </c>
      <c r="D60">
        <f>('Standard Table'!B60+'Standard Table'!C60)/2</f>
        <v>0</v>
      </c>
      <c r="E60">
        <v>0.0062</v>
      </c>
      <c r="F60">
        <v>0.0074</v>
      </c>
    </row>
    <row r="61">
      <c r="A61">
        <v>77</v>
      </c>
      <c r="B61">
        <v>0.0172</v>
      </c>
      <c r="C61">
        <v>0.0146</v>
      </c>
      <c r="D61">
        <f>('Standard Table'!B61+'Standard Table'!C61)/2</f>
        <v>0</v>
      </c>
      <c r="E61">
        <v>0.0062</v>
      </c>
      <c r="F61">
        <v>0.0074</v>
      </c>
    </row>
    <row r="62">
      <c r="A62">
        <v>78</v>
      </c>
      <c r="B62">
        <v>0.0183</v>
      </c>
      <c r="C62">
        <v>0.0156</v>
      </c>
      <c r="D62">
        <f>('Standard Table'!B62+'Standard Table'!C62)/2</f>
        <v>0</v>
      </c>
      <c r="E62">
        <v>0.0061</v>
      </c>
      <c r="F62">
        <v>0.0073</v>
      </c>
    </row>
    <row r="63">
      <c r="A63">
        <v>79</v>
      </c>
      <c r="B63">
        <v>0.0194</v>
      </c>
      <c r="C63">
        <v>0.0165</v>
      </c>
      <c r="D63">
        <f>('Standard Table'!B63+'Standard Table'!C63)/2</f>
        <v>0</v>
      </c>
      <c r="E63">
        <v>0.0061</v>
      </c>
      <c r="F63">
        <v>0.0073</v>
      </c>
    </row>
    <row r="64">
      <c r="A64">
        <v>80</v>
      </c>
      <c r="B64">
        <v>0.0206</v>
      </c>
      <c r="C64">
        <v>0.0175</v>
      </c>
      <c r="D64">
        <f>('Standard Table'!B64+'Standard Table'!C64)/2</f>
        <v>0</v>
      </c>
      <c r="E64">
        <v>0.006</v>
      </c>
      <c r="F64">
        <v>0.0072</v>
      </c>
    </row>
    <row r="65">
      <c r="A65">
        <v>81</v>
      </c>
      <c r="B65">
        <v>0.0219</v>
      </c>
      <c r="C65">
        <v>0.0186</v>
      </c>
      <c r="D65">
        <f>('Standard Table'!B65+'Standard Table'!C65)/2</f>
        <v>0</v>
      </c>
      <c r="E65">
        <v>0.0059</v>
      </c>
      <c r="F65">
        <v>0.0071</v>
      </c>
    </row>
    <row r="66">
      <c r="A66">
        <v>82</v>
      </c>
      <c r="B66">
        <v>0.0233</v>
      </c>
      <c r="C66">
        <v>0.0198</v>
      </c>
      <c r="D66">
        <f>('Standard Table'!B66+'Standard Table'!C66)/2</f>
        <v>0</v>
      </c>
      <c r="E66">
        <v>0.0059</v>
      </c>
      <c r="F66">
        <v>0.0071</v>
      </c>
    </row>
    <row r="67">
      <c r="A67">
        <v>83</v>
      </c>
      <c r="B67">
        <v>0.0247</v>
      </c>
      <c r="C67">
        <v>0.021</v>
      </c>
      <c r="D67">
        <f>('Standard Table'!B67+'Standard Table'!C67)/2</f>
        <v>0</v>
      </c>
      <c r="E67">
        <v>0.0059</v>
      </c>
      <c r="F67">
        <v>0.007</v>
      </c>
    </row>
    <row r="68">
      <c r="A68">
        <v>84</v>
      </c>
      <c r="B68">
        <v>0.0262</v>
      </c>
      <c r="C68">
        <v>0.0223</v>
      </c>
      <c r="D68">
        <f>('Standard Table'!B68+'Standard Table'!C68)/2</f>
        <v>0</v>
      </c>
      <c r="E68">
        <v>0.0058</v>
      </c>
      <c r="F68">
        <v>0.007</v>
      </c>
    </row>
    <row r="69">
      <c r="A69">
        <v>85</v>
      </c>
      <c r="B69">
        <v>0.0279</v>
      </c>
      <c r="C69">
        <v>0.0237</v>
      </c>
      <c r="D69">
        <f>('Standard Table'!B69+'Standard Table'!C69)/2</f>
        <v>0</v>
      </c>
      <c r="E69">
        <v>0.0058</v>
      </c>
      <c r="F69">
        <v>0.0069</v>
      </c>
    </row>
    <row r="70">
      <c r="A70">
        <v>86</v>
      </c>
      <c r="B70">
        <v>0.0296</v>
      </c>
      <c r="C70">
        <v>0.0251</v>
      </c>
      <c r="D70">
        <f>('Standard Table'!B70+'Standard Table'!C70)/2</f>
        <v>0</v>
      </c>
      <c r="E70">
        <v>0.0057</v>
      </c>
      <c r="F70">
        <v>0.0068</v>
      </c>
    </row>
    <row r="71">
      <c r="A71">
        <v>87</v>
      </c>
      <c r="B71">
        <v>0.0314</v>
      </c>
      <c r="C71">
        <v>0.0267</v>
      </c>
      <c r="D71">
        <f>('Standard Table'!B71+'Standard Table'!C71)/2</f>
        <v>0</v>
      </c>
      <c r="E71">
        <v>0.0056</v>
      </c>
      <c r="F71">
        <v>0.0068</v>
      </c>
    </row>
    <row r="72">
      <c r="A72">
        <v>88</v>
      </c>
      <c r="B72">
        <v>0.0333</v>
      </c>
      <c r="C72">
        <v>0.0283</v>
      </c>
      <c r="D72">
        <f>('Standard Table'!B72+'Standard Table'!C72)/2</f>
        <v>0</v>
      </c>
      <c r="E72">
        <v>0.0056</v>
      </c>
      <c r="F72">
        <v>0.0067</v>
      </c>
    </row>
    <row r="73">
      <c r="A73">
        <v>89</v>
      </c>
      <c r="B73">
        <v>0.0354</v>
      </c>
      <c r="C73">
        <v>0.0301</v>
      </c>
      <c r="D73">
        <f>('Standard Table'!B73+'Standard Table'!C73)/2</f>
        <v>0</v>
      </c>
      <c r="E73">
        <v>0.0055</v>
      </c>
      <c r="F73">
        <v>0.0067</v>
      </c>
    </row>
    <row r="74">
      <c r="A74">
        <v>90</v>
      </c>
      <c r="B74">
        <v>0.0376</v>
      </c>
      <c r="C74">
        <v>0.032</v>
      </c>
      <c r="D74">
        <f>('Standard Table'!B74+'Standard Table'!C74)/2</f>
        <v>0</v>
      </c>
      <c r="E74">
        <v>0.0055</v>
      </c>
      <c r="F74">
        <v>0.0066</v>
      </c>
    </row>
    <row r="75">
      <c r="A75">
        <v>91</v>
      </c>
      <c r="B75">
        <v>0.0399</v>
      </c>
      <c r="C75">
        <v>0.0339</v>
      </c>
      <c r="D75">
        <f>('Standard Table'!B75+'Standard Table'!C75)/2</f>
        <v>0</v>
      </c>
      <c r="E75">
        <v>0.0054</v>
      </c>
      <c r="F75">
        <v>0.0065</v>
      </c>
    </row>
    <row r="76">
      <c r="A76">
        <v>92</v>
      </c>
      <c r="B76">
        <v>0.0424</v>
      </c>
      <c r="C76">
        <v>0.036</v>
      </c>
      <c r="D76">
        <f>('Standard Table'!B76+'Standard Table'!C76)/2</f>
        <v>0</v>
      </c>
      <c r="E76">
        <v>0.0054</v>
      </c>
      <c r="F76">
        <v>0.0065</v>
      </c>
    </row>
    <row r="77">
      <c r="A77">
        <v>93</v>
      </c>
      <c r="B77">
        <v>0.045</v>
      </c>
      <c r="C77">
        <v>0.0383</v>
      </c>
      <c r="D77">
        <f>('Standard Table'!B77+'Standard Table'!C77)/2</f>
        <v>0</v>
      </c>
      <c r="E77">
        <v>0.0054</v>
      </c>
      <c r="F77">
        <v>0.0064</v>
      </c>
    </row>
    <row r="78">
      <c r="A78">
        <v>94</v>
      </c>
      <c r="B78">
        <v>0.0478</v>
      </c>
      <c r="C78">
        <v>0.0406</v>
      </c>
      <c r="D78">
        <f>('Standard Table'!B78+'Standard Table'!C78)/2</f>
        <v>0</v>
      </c>
      <c r="E78">
        <v>0.0053</v>
      </c>
      <c r="F78">
        <v>0.0064</v>
      </c>
    </row>
    <row r="79">
      <c r="A79">
        <v>95</v>
      </c>
      <c r="B79">
        <v>0.0507</v>
      </c>
      <c r="C79">
        <v>0.0431</v>
      </c>
      <c r="D79">
        <f>('Standard Table'!B79+'Standard Table'!C79)/2</f>
        <v>0</v>
      </c>
      <c r="E79">
        <v>0.0053</v>
      </c>
      <c r="F79">
        <v>0.0063</v>
      </c>
    </row>
    <row r="80">
      <c r="A80">
        <v>96</v>
      </c>
      <c r="B80">
        <v>0.0539</v>
      </c>
      <c r="C80">
        <v>0.0458</v>
      </c>
      <c r="D80">
        <f>('Standard Table'!B80+'Standard Table'!C80)/2</f>
        <v>0</v>
      </c>
      <c r="E80">
        <v>0.0052</v>
      </c>
      <c r="F80">
        <v>0.0062</v>
      </c>
    </row>
    <row r="81">
      <c r="A81">
        <v>97</v>
      </c>
      <c r="B81">
        <v>0.0572</v>
      </c>
      <c r="C81">
        <v>0.0486</v>
      </c>
      <c r="D81">
        <f>('Standard Table'!B81+'Standard Table'!C81)/2</f>
        <v>0</v>
      </c>
      <c r="E81">
        <v>0.0052</v>
      </c>
      <c r="F81">
        <v>0.0062</v>
      </c>
    </row>
    <row r="82">
      <c r="A82">
        <v>98</v>
      </c>
      <c r="B82">
        <v>0.0608</v>
      </c>
      <c r="C82">
        <v>0.0516</v>
      </c>
      <c r="D82">
        <f>('Standard Table'!B82+'Standard Table'!C82)/2</f>
        <v>0</v>
      </c>
      <c r="E82">
        <v>0.0051</v>
      </c>
      <c r="F82">
        <v>0.0061</v>
      </c>
    </row>
    <row r="83">
      <c r="A83">
        <v>99</v>
      </c>
      <c r="B83">
        <v>0.0645</v>
      </c>
      <c r="C83">
        <v>0.0548</v>
      </c>
      <c r="D83">
        <f>('Standard Table'!B83+'Standard Table'!C83)/2</f>
        <v>0</v>
      </c>
      <c r="E83">
        <v>0.0051</v>
      </c>
      <c r="F83">
        <v>0.0061</v>
      </c>
    </row>
  </sheetData>
  <ignoredErrors>
    <ignoredError numberStoredAsText="1" sqref="A1:F8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t="str">
        <v>Age Band</v>
      </c>
      <c r="B1" t="str">
        <v>2019</v>
      </c>
      <c r="C1" t="str">
        <v>2020</v>
      </c>
      <c r="D1" t="str">
        <v>2021</v>
      </c>
      <c r="E1" t="str">
        <v>2022</v>
      </c>
      <c r="F1" t="str">
        <v>2023</v>
      </c>
      <c r="G1" t="str">
        <v>2024</v>
      </c>
      <c r="H1" t="str">
        <v>Total Exposed</v>
      </c>
      <c r="I1" t="str">
        <v>Total Claims</v>
      </c>
      <c r="J1" t="str">
        <v>Crude Rate</v>
      </c>
    </row>
    <row r="2">
      <c r="A2" t="str">
        <v>18-24</v>
      </c>
      <c r="B2">
        <v>8813</v>
      </c>
      <c r="C2">
        <v>22346</v>
      </c>
      <c r="D2">
        <v>23030</v>
      </c>
      <c r="E2">
        <v>15796</v>
      </c>
      <c r="F2">
        <v>24897</v>
      </c>
      <c r="G2">
        <v>23260</v>
      </c>
      <c r="H2">
        <v>118142</v>
      </c>
      <c r="I2">
        <v>96</v>
      </c>
      <c r="J2">
        <f>'Exp Term Life'!I2/'Exp Term Life'!H2</f>
        <v>0</v>
      </c>
    </row>
    <row r="3">
      <c r="A3" t="str">
        <v>25-34</v>
      </c>
      <c r="B3">
        <v>23913</v>
      </c>
      <c r="C3">
        <v>22081</v>
      </c>
      <c r="D3">
        <v>11384</v>
      </c>
      <c r="E3">
        <v>5110</v>
      </c>
      <c r="F3">
        <v>20459</v>
      </c>
      <c r="G3">
        <v>9268</v>
      </c>
      <c r="H3">
        <v>92215</v>
      </c>
      <c r="I3">
        <v>245</v>
      </c>
      <c r="J3">
        <f>'Exp Term Life'!I3/'Exp Term Life'!H3</f>
        <v>0</v>
      </c>
    </row>
    <row r="4">
      <c r="A4" t="str">
        <v>35-44</v>
      </c>
      <c r="B4">
        <v>23121</v>
      </c>
      <c r="C4">
        <v>12680</v>
      </c>
      <c r="D4">
        <v>22663</v>
      </c>
      <c r="E4">
        <v>20087</v>
      </c>
      <c r="F4">
        <v>19027</v>
      </c>
      <c r="G4">
        <v>24570</v>
      </c>
      <c r="H4">
        <v>122148</v>
      </c>
      <c r="I4">
        <v>589</v>
      </c>
      <c r="J4">
        <f>'Exp Term Life'!I4/'Exp Term Life'!H4</f>
        <v>0</v>
      </c>
    </row>
    <row r="5">
      <c r="A5" t="str">
        <v>45-54</v>
      </c>
      <c r="B5">
        <v>10591</v>
      </c>
      <c r="C5">
        <v>8374</v>
      </c>
      <c r="D5">
        <v>8250</v>
      </c>
      <c r="E5">
        <v>9716</v>
      </c>
      <c r="F5">
        <v>13958</v>
      </c>
      <c r="G5">
        <v>7954</v>
      </c>
      <c r="H5">
        <v>58843</v>
      </c>
      <c r="I5">
        <v>446</v>
      </c>
      <c r="J5">
        <f>'Exp Term Life'!I5/'Exp Term Life'!H5</f>
        <v>0</v>
      </c>
    </row>
    <row r="6">
      <c r="A6" t="str">
        <v>55-64</v>
      </c>
      <c r="B6">
        <v>24515</v>
      </c>
      <c r="C6">
        <v>11831</v>
      </c>
      <c r="D6">
        <v>16314</v>
      </c>
      <c r="E6">
        <v>24585</v>
      </c>
      <c r="F6">
        <v>23874</v>
      </c>
      <c r="G6">
        <v>16465</v>
      </c>
      <c r="H6">
        <v>117584</v>
      </c>
      <c r="I6">
        <v>1149</v>
      </c>
      <c r="J6">
        <f>'Exp Term Life'!I6/'Exp Term Life'!H6</f>
        <v>0</v>
      </c>
    </row>
    <row r="7">
      <c r="A7" t="str">
        <v>65-74</v>
      </c>
      <c r="B7">
        <v>5811</v>
      </c>
      <c r="C7">
        <v>17814</v>
      </c>
      <c r="D7">
        <v>5377</v>
      </c>
      <c r="E7">
        <v>8990</v>
      </c>
      <c r="F7">
        <v>15798</v>
      </c>
      <c r="G7">
        <v>22234</v>
      </c>
      <c r="H7">
        <v>76024</v>
      </c>
      <c r="I7">
        <v>969</v>
      </c>
      <c r="J7">
        <f>'Exp Term Life'!I7/'Exp Term Life'!H7</f>
        <v>0</v>
      </c>
    </row>
    <row r="8">
      <c r="A8" t="str">
        <v>75-84</v>
      </c>
      <c r="B8">
        <v>23280</v>
      </c>
      <c r="C8">
        <v>5035</v>
      </c>
      <c r="D8">
        <v>6354</v>
      </c>
      <c r="E8">
        <v>5136</v>
      </c>
      <c r="F8">
        <v>9375</v>
      </c>
      <c r="G8">
        <v>14561</v>
      </c>
      <c r="H8">
        <v>63741</v>
      </c>
      <c r="I8">
        <v>905</v>
      </c>
      <c r="J8">
        <f>'Exp Term Life'!I8/'Exp Term Life'!H8</f>
        <v>0</v>
      </c>
    </row>
    <row r="9">
      <c r="A9" t="str">
        <v>85+</v>
      </c>
      <c r="B9">
        <v>21657</v>
      </c>
      <c r="C9">
        <v>11155</v>
      </c>
      <c r="D9">
        <v>11241</v>
      </c>
      <c r="E9">
        <v>11485</v>
      </c>
      <c r="F9">
        <v>17924</v>
      </c>
      <c r="G9">
        <v>7392</v>
      </c>
      <c r="H9">
        <v>80854</v>
      </c>
      <c r="I9">
        <v>1408</v>
      </c>
      <c r="J9">
        <f>'Exp Term Life'!I9/'Exp Term Life'!H9</f>
        <v>0</v>
      </c>
    </row>
  </sheetData>
  <ignoredErrors>
    <ignoredError numberStoredAsText="1" sqref="A1:J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t="str">
        <v>Age Band</v>
      </c>
      <c r="B1" t="str">
        <v>2019</v>
      </c>
      <c r="C1" t="str">
        <v>2020</v>
      </c>
      <c r="D1" t="str">
        <v>2021</v>
      </c>
      <c r="E1" t="str">
        <v>2022</v>
      </c>
      <c r="F1" t="str">
        <v>2023</v>
      </c>
      <c r="G1" t="str">
        <v>2024</v>
      </c>
      <c r="H1" t="str">
        <v>Total Exposed</v>
      </c>
      <c r="I1" t="str">
        <v>Total Claims</v>
      </c>
      <c r="J1" t="str">
        <v>Crude Rate</v>
      </c>
    </row>
    <row r="2">
      <c r="A2" t="str">
        <v>18-24</v>
      </c>
      <c r="B2">
        <v>24168</v>
      </c>
      <c r="C2">
        <v>6123</v>
      </c>
      <c r="D2">
        <v>23022</v>
      </c>
      <c r="E2">
        <v>24340</v>
      </c>
      <c r="F2">
        <v>18789</v>
      </c>
      <c r="G2">
        <v>11765</v>
      </c>
      <c r="H2">
        <v>108207</v>
      </c>
      <c r="I2">
        <v>122</v>
      </c>
      <c r="J2">
        <f>'Exp Whole Life'!I2/'Exp Whole Life'!H2</f>
        <v>0</v>
      </c>
    </row>
    <row r="3">
      <c r="A3" t="str">
        <v>25-34</v>
      </c>
      <c r="B3">
        <v>16402</v>
      </c>
      <c r="C3">
        <v>13920</v>
      </c>
      <c r="D3">
        <v>23721</v>
      </c>
      <c r="E3">
        <v>10890</v>
      </c>
      <c r="F3">
        <v>18381</v>
      </c>
      <c r="G3">
        <v>15835</v>
      </c>
      <c r="H3">
        <v>99149</v>
      </c>
      <c r="I3">
        <v>292</v>
      </c>
      <c r="J3">
        <f>'Exp Whole Life'!I3/'Exp Whole Life'!H3</f>
        <v>0</v>
      </c>
    </row>
    <row r="4">
      <c r="A4" t="str">
        <v>35-44</v>
      </c>
      <c r="B4">
        <v>21630</v>
      </c>
      <c r="C4">
        <v>14429</v>
      </c>
      <c r="D4">
        <v>8404</v>
      </c>
      <c r="E4">
        <v>14979</v>
      </c>
      <c r="F4">
        <v>8267</v>
      </c>
      <c r="G4">
        <v>11594</v>
      </c>
      <c r="H4">
        <v>79303</v>
      </c>
      <c r="I4">
        <v>439</v>
      </c>
      <c r="J4">
        <f>'Exp Whole Life'!I4/'Exp Whole Life'!H4</f>
        <v>0</v>
      </c>
    </row>
    <row r="5">
      <c r="A5" t="str">
        <v>45-54</v>
      </c>
      <c r="B5">
        <v>18826</v>
      </c>
      <c r="C5">
        <v>14412</v>
      </c>
      <c r="D5">
        <v>13366</v>
      </c>
      <c r="E5">
        <v>8139</v>
      </c>
      <c r="F5">
        <v>14360</v>
      </c>
      <c r="G5">
        <v>9750</v>
      </c>
      <c r="H5">
        <v>78853</v>
      </c>
      <c r="I5">
        <v>453</v>
      </c>
      <c r="J5">
        <f>'Exp Whole Life'!I5/'Exp Whole Life'!H5</f>
        <v>0</v>
      </c>
    </row>
    <row r="6">
      <c r="A6" t="str">
        <v>55-64</v>
      </c>
      <c r="B6">
        <v>12340</v>
      </c>
      <c r="C6">
        <v>6208</v>
      </c>
      <c r="D6">
        <v>18003</v>
      </c>
      <c r="E6">
        <v>23870</v>
      </c>
      <c r="F6">
        <v>9352</v>
      </c>
      <c r="G6">
        <v>20872</v>
      </c>
      <c r="H6">
        <v>90645</v>
      </c>
      <c r="I6">
        <v>805</v>
      </c>
      <c r="J6">
        <f>'Exp Whole Life'!I6/'Exp Whole Life'!H6</f>
        <v>0</v>
      </c>
    </row>
    <row r="7">
      <c r="A7" t="str">
        <v>65-74</v>
      </c>
      <c r="B7">
        <v>14398</v>
      </c>
      <c r="C7">
        <v>16564</v>
      </c>
      <c r="D7">
        <v>17507</v>
      </c>
      <c r="E7">
        <v>18491</v>
      </c>
      <c r="F7">
        <v>22575</v>
      </c>
      <c r="G7">
        <v>23166</v>
      </c>
      <c r="H7">
        <v>112701</v>
      </c>
      <c r="I7">
        <v>1082</v>
      </c>
      <c r="J7">
        <f>'Exp Whole Life'!I7/'Exp Whole Life'!H7</f>
        <v>0</v>
      </c>
    </row>
    <row r="8">
      <c r="A8" t="str">
        <v>75-84</v>
      </c>
      <c r="B8">
        <v>11055</v>
      </c>
      <c r="C8">
        <v>23833</v>
      </c>
      <c r="D8">
        <v>14305</v>
      </c>
      <c r="E8">
        <v>6978</v>
      </c>
      <c r="F8">
        <v>7699</v>
      </c>
      <c r="G8">
        <v>11865</v>
      </c>
      <c r="H8">
        <v>75735</v>
      </c>
      <c r="I8">
        <v>836</v>
      </c>
      <c r="J8">
        <f>'Exp Whole Life'!I8/'Exp Whole Life'!H8</f>
        <v>0</v>
      </c>
    </row>
    <row r="9">
      <c r="A9" t="str">
        <v>85+</v>
      </c>
      <c r="B9">
        <v>11999</v>
      </c>
      <c r="C9">
        <v>14931</v>
      </c>
      <c r="D9">
        <v>11596</v>
      </c>
      <c r="E9">
        <v>24203</v>
      </c>
      <c r="F9">
        <v>12642</v>
      </c>
      <c r="G9">
        <v>14322</v>
      </c>
      <c r="H9">
        <v>89693</v>
      </c>
      <c r="I9">
        <v>1116</v>
      </c>
      <c r="J9">
        <f>'Exp Whole Life'!I9/'Exp Whole Life'!H9</f>
        <v>0</v>
      </c>
    </row>
  </sheetData>
  <ignoredErrors>
    <ignoredError numberStoredAsText="1" sqref="A1:J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t="str">
        <v>Age Band</v>
      </c>
      <c r="B1" t="str">
        <v>2019</v>
      </c>
      <c r="C1" t="str">
        <v>2020</v>
      </c>
      <c r="D1" t="str">
        <v>2021</v>
      </c>
      <c r="E1" t="str">
        <v>2022</v>
      </c>
      <c r="F1" t="str">
        <v>2023</v>
      </c>
      <c r="G1" t="str">
        <v>2024</v>
      </c>
      <c r="H1" t="str">
        <v>Total Exposed</v>
      </c>
      <c r="I1" t="str">
        <v>Total Claims</v>
      </c>
      <c r="J1" t="str">
        <v>Crude Rate</v>
      </c>
    </row>
    <row r="2">
      <c r="A2" t="str">
        <v>18-24</v>
      </c>
      <c r="B2">
        <v>12280</v>
      </c>
      <c r="C2">
        <v>5377</v>
      </c>
      <c r="D2">
        <v>21058</v>
      </c>
      <c r="E2">
        <v>11664</v>
      </c>
      <c r="F2">
        <v>16457</v>
      </c>
      <c r="G2">
        <v>6770</v>
      </c>
      <c r="H2">
        <v>73606</v>
      </c>
      <c r="I2">
        <v>87</v>
      </c>
      <c r="J2">
        <f>'Exp Universal Life'!I2/'Exp Universal Life'!H2</f>
        <v>0</v>
      </c>
    </row>
    <row r="3">
      <c r="A3" t="str">
        <v>25-34</v>
      </c>
      <c r="B3">
        <v>20233</v>
      </c>
      <c r="C3">
        <v>19656</v>
      </c>
      <c r="D3">
        <v>9440</v>
      </c>
      <c r="E3">
        <v>21155</v>
      </c>
      <c r="F3">
        <v>8892</v>
      </c>
      <c r="G3">
        <v>23302</v>
      </c>
      <c r="H3">
        <v>102678</v>
      </c>
      <c r="I3">
        <v>323</v>
      </c>
      <c r="J3">
        <f>'Exp Universal Life'!I3/'Exp Universal Life'!H3</f>
        <v>0</v>
      </c>
    </row>
    <row r="4">
      <c r="A4" t="str">
        <v>35-44</v>
      </c>
      <c r="B4">
        <v>20255</v>
      </c>
      <c r="C4">
        <v>22421</v>
      </c>
      <c r="D4">
        <v>20749</v>
      </c>
      <c r="E4">
        <v>5090</v>
      </c>
      <c r="F4">
        <v>16684</v>
      </c>
      <c r="G4">
        <v>6322</v>
      </c>
      <c r="H4">
        <v>91521</v>
      </c>
      <c r="I4">
        <v>415</v>
      </c>
      <c r="J4">
        <f>'Exp Universal Life'!I4/'Exp Universal Life'!H4</f>
        <v>0</v>
      </c>
    </row>
    <row r="5">
      <c r="A5" t="str">
        <v>45-54</v>
      </c>
      <c r="B5">
        <v>7157</v>
      </c>
      <c r="C5">
        <v>5868</v>
      </c>
      <c r="D5">
        <v>18528</v>
      </c>
      <c r="E5">
        <v>12206</v>
      </c>
      <c r="F5">
        <v>10376</v>
      </c>
      <c r="G5">
        <v>22112</v>
      </c>
      <c r="H5">
        <v>76247</v>
      </c>
      <c r="I5">
        <v>546</v>
      </c>
      <c r="J5">
        <f>'Exp Universal Life'!I5/'Exp Universal Life'!H5</f>
        <v>0</v>
      </c>
    </row>
    <row r="6">
      <c r="A6" t="str">
        <v>55-64</v>
      </c>
      <c r="B6">
        <v>23297</v>
      </c>
      <c r="C6">
        <v>6715</v>
      </c>
      <c r="D6">
        <v>20974</v>
      </c>
      <c r="E6">
        <v>5777</v>
      </c>
      <c r="F6">
        <v>11523</v>
      </c>
      <c r="G6">
        <v>13956</v>
      </c>
      <c r="H6">
        <v>82242</v>
      </c>
      <c r="I6">
        <v>740</v>
      </c>
      <c r="J6">
        <f>'Exp Universal Life'!I6/'Exp Universal Life'!H6</f>
        <v>0</v>
      </c>
    </row>
    <row r="7">
      <c r="A7" t="str">
        <v>65-74</v>
      </c>
      <c r="B7">
        <v>18191</v>
      </c>
      <c r="C7">
        <v>21398</v>
      </c>
      <c r="D7">
        <v>19370</v>
      </c>
      <c r="E7">
        <v>10483</v>
      </c>
      <c r="F7">
        <v>18129</v>
      </c>
      <c r="G7">
        <v>16656</v>
      </c>
      <c r="H7">
        <v>104227</v>
      </c>
      <c r="I7">
        <v>1136</v>
      </c>
      <c r="J7">
        <f>'Exp Universal Life'!I7/'Exp Universal Life'!H7</f>
        <v>0</v>
      </c>
    </row>
    <row r="8">
      <c r="A8" t="str">
        <v>75-84</v>
      </c>
      <c r="B8">
        <v>5857</v>
      </c>
      <c r="C8">
        <v>16571</v>
      </c>
      <c r="D8">
        <v>12776</v>
      </c>
      <c r="E8">
        <v>10155</v>
      </c>
      <c r="F8">
        <v>21940</v>
      </c>
      <c r="G8">
        <v>20622</v>
      </c>
      <c r="H8">
        <v>87921</v>
      </c>
      <c r="I8">
        <v>1156</v>
      </c>
      <c r="J8">
        <f>'Exp Universal Life'!I8/'Exp Universal Life'!H8</f>
        <v>0</v>
      </c>
    </row>
    <row r="9">
      <c r="A9" t="str">
        <v>85+</v>
      </c>
      <c r="B9">
        <v>20831</v>
      </c>
      <c r="C9">
        <v>23501</v>
      </c>
      <c r="D9">
        <v>21179</v>
      </c>
      <c r="E9">
        <v>19998</v>
      </c>
      <c r="F9">
        <v>6651</v>
      </c>
      <c r="G9">
        <v>15234</v>
      </c>
      <c r="H9">
        <v>107394</v>
      </c>
      <c r="I9">
        <v>1820</v>
      </c>
      <c r="J9">
        <f>'Exp Universal Life'!I9/'Exp Universal Life'!H9</f>
        <v>0</v>
      </c>
    </row>
  </sheetData>
  <ignoredErrors>
    <ignoredError numberStoredAsText="1" sqref="A1:J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t="str">
        <v>Age Band</v>
      </c>
      <c r="B1" t="str">
        <v>2019</v>
      </c>
      <c r="C1" t="str">
        <v>2020</v>
      </c>
      <c r="D1" t="str">
        <v>2021</v>
      </c>
      <c r="E1" t="str">
        <v>2022</v>
      </c>
      <c r="F1" t="str">
        <v>2023</v>
      </c>
      <c r="G1" t="str">
        <v>2024</v>
      </c>
      <c r="H1" t="str">
        <v>Total Exposed</v>
      </c>
      <c r="I1" t="str">
        <v>Total Claims</v>
      </c>
      <c r="J1" t="str">
        <v>Crude Rate</v>
      </c>
    </row>
    <row r="2">
      <c r="A2" t="str">
        <v>18-24</v>
      </c>
      <c r="B2">
        <v>19868</v>
      </c>
      <c r="C2">
        <v>16933</v>
      </c>
      <c r="D2">
        <v>12892</v>
      </c>
      <c r="E2">
        <v>14276</v>
      </c>
      <c r="F2">
        <v>5528</v>
      </c>
      <c r="G2">
        <v>23335</v>
      </c>
      <c r="H2">
        <v>92832</v>
      </c>
      <c r="I2">
        <v>96</v>
      </c>
      <c r="J2">
        <f>'Exp Variable Life'!I2/'Exp Variable Life'!H2</f>
        <v>0</v>
      </c>
    </row>
    <row r="3">
      <c r="A3" t="str">
        <v>25-34</v>
      </c>
      <c r="B3">
        <v>12367</v>
      </c>
      <c r="C3">
        <v>24573</v>
      </c>
      <c r="D3">
        <v>16891</v>
      </c>
      <c r="E3">
        <v>15399</v>
      </c>
      <c r="F3">
        <v>19418</v>
      </c>
      <c r="G3">
        <v>13172</v>
      </c>
      <c r="H3">
        <v>101820</v>
      </c>
      <c r="I3">
        <v>341</v>
      </c>
      <c r="J3">
        <f>'Exp Variable Life'!I3/'Exp Variable Life'!H3</f>
        <v>0</v>
      </c>
    </row>
    <row r="4">
      <c r="A4" t="str">
        <v>35-44</v>
      </c>
      <c r="B4">
        <v>16357</v>
      </c>
      <c r="C4">
        <v>16945</v>
      </c>
      <c r="D4">
        <v>22076</v>
      </c>
      <c r="E4">
        <v>11453</v>
      </c>
      <c r="F4">
        <v>24707</v>
      </c>
      <c r="G4">
        <v>24227</v>
      </c>
      <c r="H4">
        <v>115765</v>
      </c>
      <c r="I4">
        <v>678</v>
      </c>
      <c r="J4">
        <f>'Exp Variable Life'!I4/'Exp Variable Life'!H4</f>
        <v>0</v>
      </c>
    </row>
    <row r="5">
      <c r="A5" t="str">
        <v>45-54</v>
      </c>
      <c r="B5">
        <v>17206</v>
      </c>
      <c r="C5">
        <v>8727</v>
      </c>
      <c r="D5">
        <v>17977</v>
      </c>
      <c r="E5">
        <v>7906</v>
      </c>
      <c r="F5">
        <v>22696</v>
      </c>
      <c r="G5">
        <v>11939</v>
      </c>
      <c r="H5">
        <v>86451</v>
      </c>
      <c r="I5">
        <v>666</v>
      </c>
      <c r="J5">
        <f>'Exp Variable Life'!I5/'Exp Variable Life'!H5</f>
        <v>0</v>
      </c>
    </row>
    <row r="6">
      <c r="A6" t="str">
        <v>55-64</v>
      </c>
      <c r="B6">
        <v>23461</v>
      </c>
      <c r="C6">
        <v>5168</v>
      </c>
      <c r="D6">
        <v>15258</v>
      </c>
      <c r="E6">
        <v>6720</v>
      </c>
      <c r="F6">
        <v>7283</v>
      </c>
      <c r="G6">
        <v>20283</v>
      </c>
      <c r="H6">
        <v>78173</v>
      </c>
      <c r="I6">
        <v>770</v>
      </c>
      <c r="J6">
        <f>'Exp Variable Life'!I6/'Exp Variable Life'!H6</f>
        <v>0</v>
      </c>
    </row>
    <row r="7">
      <c r="A7" t="str">
        <v>65-74</v>
      </c>
      <c r="B7">
        <v>19712</v>
      </c>
      <c r="C7">
        <v>16725</v>
      </c>
      <c r="D7">
        <v>15462</v>
      </c>
      <c r="E7">
        <v>14771</v>
      </c>
      <c r="F7">
        <v>24824</v>
      </c>
      <c r="G7">
        <v>13191</v>
      </c>
      <c r="H7">
        <v>104685</v>
      </c>
      <c r="I7">
        <v>1075</v>
      </c>
      <c r="J7">
        <f>'Exp Variable Life'!I7/'Exp Variable Life'!H7</f>
        <v>0</v>
      </c>
    </row>
    <row r="8">
      <c r="A8" t="str">
        <v>75-84</v>
      </c>
      <c r="B8">
        <v>11367</v>
      </c>
      <c r="C8">
        <v>16597</v>
      </c>
      <c r="D8">
        <v>9650</v>
      </c>
      <c r="E8">
        <v>10693</v>
      </c>
      <c r="F8">
        <v>8880</v>
      </c>
      <c r="G8">
        <v>16797</v>
      </c>
      <c r="H8">
        <v>73984</v>
      </c>
      <c r="I8">
        <v>1099</v>
      </c>
      <c r="J8">
        <f>'Exp Variable Life'!I8/'Exp Variable Life'!H8</f>
        <v>0</v>
      </c>
    </row>
    <row r="9">
      <c r="A9" t="str">
        <v>85+</v>
      </c>
      <c r="B9">
        <v>14825</v>
      </c>
      <c r="C9">
        <v>20528</v>
      </c>
      <c r="D9">
        <v>5173</v>
      </c>
      <c r="E9">
        <v>11207</v>
      </c>
      <c r="F9">
        <v>20931</v>
      </c>
      <c r="G9">
        <v>19380</v>
      </c>
      <c r="H9">
        <v>92044</v>
      </c>
      <c r="I9">
        <v>1362</v>
      </c>
      <c r="J9">
        <f>'Exp Variable Life'!I9/'Exp Variable Life'!H9</f>
        <v>0</v>
      </c>
    </row>
  </sheetData>
  <ignoredErrors>
    <ignoredError numberStoredAsText="1" sqref="A1:J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t="str">
        <v>Age Band</v>
      </c>
      <c r="B1" t="str">
        <v>2019</v>
      </c>
      <c r="C1" t="str">
        <v>2020</v>
      </c>
      <c r="D1" t="str">
        <v>2021</v>
      </c>
      <c r="E1" t="str">
        <v>2022</v>
      </c>
      <c r="F1" t="str">
        <v>2023</v>
      </c>
      <c r="G1" t="str">
        <v>2024</v>
      </c>
      <c r="H1" t="str">
        <v>Total Exposed</v>
      </c>
      <c r="I1" t="str">
        <v>Total Claims</v>
      </c>
      <c r="J1" t="str">
        <v>Crude Rate</v>
      </c>
    </row>
    <row r="2">
      <c r="A2" t="str">
        <v>18-24</v>
      </c>
      <c r="B2">
        <v>13060</v>
      </c>
      <c r="C2">
        <v>7289</v>
      </c>
      <c r="D2">
        <v>7808</v>
      </c>
      <c r="E2">
        <v>14684</v>
      </c>
      <c r="F2">
        <v>22149</v>
      </c>
      <c r="G2">
        <v>5766</v>
      </c>
      <c r="H2">
        <v>70756</v>
      </c>
      <c r="I2">
        <v>69</v>
      </c>
      <c r="J2">
        <f>'Exp Group Life'!I2/'Exp Group Life'!H2</f>
        <v>0</v>
      </c>
    </row>
    <row r="3">
      <c r="A3" t="str">
        <v>25-34</v>
      </c>
      <c r="B3">
        <v>23172</v>
      </c>
      <c r="C3">
        <v>6970</v>
      </c>
      <c r="D3">
        <v>8354</v>
      </c>
      <c r="E3">
        <v>24851</v>
      </c>
      <c r="F3">
        <v>10149</v>
      </c>
      <c r="G3">
        <v>8212</v>
      </c>
      <c r="H3">
        <v>81708</v>
      </c>
      <c r="I3">
        <v>219</v>
      </c>
      <c r="J3">
        <f>'Exp Group Life'!I3/'Exp Group Life'!H3</f>
        <v>0</v>
      </c>
    </row>
    <row r="4">
      <c r="A4" t="str">
        <v>35-44</v>
      </c>
      <c r="B4">
        <v>21445</v>
      </c>
      <c r="C4">
        <v>17065</v>
      </c>
      <c r="D4">
        <v>5642</v>
      </c>
      <c r="E4">
        <v>6620</v>
      </c>
      <c r="F4">
        <v>16106</v>
      </c>
      <c r="G4">
        <v>22053</v>
      </c>
      <c r="H4">
        <v>88931</v>
      </c>
      <c r="I4">
        <v>466</v>
      </c>
      <c r="J4">
        <f>'Exp Group Life'!I4/'Exp Group Life'!H4</f>
        <v>0</v>
      </c>
    </row>
    <row r="5">
      <c r="A5" t="str">
        <v>45-54</v>
      </c>
      <c r="B5">
        <v>24730</v>
      </c>
      <c r="C5">
        <v>7498</v>
      </c>
      <c r="D5">
        <v>14643</v>
      </c>
      <c r="E5">
        <v>19850</v>
      </c>
      <c r="F5">
        <v>13380</v>
      </c>
      <c r="G5">
        <v>9749</v>
      </c>
      <c r="H5">
        <v>89850</v>
      </c>
      <c r="I5">
        <v>727</v>
      </c>
      <c r="J5">
        <f>'Exp Group Life'!I5/'Exp Group Life'!H5</f>
        <v>0</v>
      </c>
    </row>
    <row r="6">
      <c r="A6" t="str">
        <v>55-64</v>
      </c>
      <c r="B6">
        <v>17627</v>
      </c>
      <c r="C6">
        <v>5758</v>
      </c>
      <c r="D6">
        <v>20253</v>
      </c>
      <c r="E6">
        <v>6327</v>
      </c>
      <c r="F6">
        <v>16829</v>
      </c>
      <c r="G6">
        <v>17309</v>
      </c>
      <c r="H6">
        <v>84103</v>
      </c>
      <c r="I6">
        <v>818</v>
      </c>
      <c r="J6">
        <f>'Exp Group Life'!I6/'Exp Group Life'!H6</f>
        <v>0</v>
      </c>
    </row>
    <row r="7">
      <c r="A7" t="str">
        <v>65-74</v>
      </c>
      <c r="B7">
        <v>18047</v>
      </c>
      <c r="C7">
        <v>16694</v>
      </c>
      <c r="D7">
        <v>18734</v>
      </c>
      <c r="E7">
        <v>20471</v>
      </c>
      <c r="F7">
        <v>16704</v>
      </c>
      <c r="G7">
        <v>19784</v>
      </c>
      <c r="H7">
        <v>110434</v>
      </c>
      <c r="I7">
        <v>1183</v>
      </c>
      <c r="J7">
        <f>'Exp Group Life'!I7/'Exp Group Life'!H7</f>
        <v>0</v>
      </c>
    </row>
    <row r="8">
      <c r="A8" t="str">
        <v>75-84</v>
      </c>
      <c r="B8">
        <v>16941</v>
      </c>
      <c r="C8">
        <v>11335</v>
      </c>
      <c r="D8">
        <v>12150</v>
      </c>
      <c r="E8">
        <v>7381</v>
      </c>
      <c r="F8">
        <v>9692</v>
      </c>
      <c r="G8">
        <v>15944</v>
      </c>
      <c r="H8">
        <v>73443</v>
      </c>
      <c r="I8">
        <v>970</v>
      </c>
      <c r="J8">
        <f>'Exp Group Life'!I8/'Exp Group Life'!H8</f>
        <v>0</v>
      </c>
    </row>
    <row r="9">
      <c r="A9" t="str">
        <v>85+</v>
      </c>
      <c r="B9">
        <v>20540</v>
      </c>
      <c r="C9">
        <v>17766</v>
      </c>
      <c r="D9">
        <v>23651</v>
      </c>
      <c r="E9">
        <v>18359</v>
      </c>
      <c r="F9">
        <v>14977</v>
      </c>
      <c r="G9">
        <v>23950</v>
      </c>
      <c r="H9">
        <v>119243</v>
      </c>
      <c r="I9">
        <v>2131</v>
      </c>
      <c r="J9">
        <f>'Exp Group Life'!I9/'Exp Group Life'!H9</f>
        <v>0</v>
      </c>
    </row>
  </sheetData>
  <ignoredErrors>
    <ignoredError numberStoredAsText="1" sqref="A1:J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Age Band</v>
      </c>
      <c r="B1" t="str">
        <v>Actual Rate</v>
      </c>
      <c r="C1" t="str">
        <v>Expected Rate</v>
      </c>
      <c r="D1" t="str">
        <v>A/E Ratio</v>
      </c>
      <c r="E1" t="str">
        <v>Credibility Z</v>
      </c>
      <c r="F1" t="str">
        <v>Cred-Weighted Rate</v>
      </c>
      <c r="G1" t="str">
        <v>Margin</v>
      </c>
      <c r="H1" t="str">
        <v>Final Rate</v>
      </c>
    </row>
    <row r="2">
      <c r="A2" t="str">
        <v>18-24</v>
      </c>
      <c r="B2">
        <f>'Exp Term Life'!J2</f>
        <v>0</v>
      </c>
      <c r="C2">
        <f>'Standard Table'!D5</f>
        <v>0</v>
      </c>
      <c r="D2">
        <f>'AE Term Life'!B2/'AE Term Life'!C2</f>
        <v>0</v>
      </c>
      <c r="E2">
        <f>MIN(SQRT('Exp Term Life'!I2/FullCredClaims),1)</f>
        <v>0</v>
      </c>
      <c r="F2">
        <f>'AE Term Life'!E2*'AE Term Life'!B2+(1-'AE Term Life'!E2)*'AE Term Life'!C2</f>
        <v>0</v>
      </c>
      <c r="G2">
        <f>'AE Term Life'!F2*MADPct</f>
        <v>0</v>
      </c>
      <c r="H2">
        <f>'AE Term Life'!F2+'AE Term Life'!G2</f>
        <v>0</v>
      </c>
    </row>
    <row r="3">
      <c r="A3" t="str">
        <v>25-34</v>
      </c>
      <c r="B3">
        <f>'Exp Term Life'!J3</f>
        <v>0</v>
      </c>
      <c r="C3">
        <f>'Standard Table'!D15</f>
        <v>0</v>
      </c>
      <c r="D3">
        <f>'AE Term Life'!B3/'AE Term Life'!C3</f>
        <v>0</v>
      </c>
      <c r="E3">
        <f>MIN(SQRT('Exp Term Life'!I3/FullCredClaims),1)</f>
        <v>0</v>
      </c>
      <c r="F3">
        <f>'AE Term Life'!E3*'AE Term Life'!B3+(1-'AE Term Life'!E3)*'AE Term Life'!C3</f>
        <v>0</v>
      </c>
      <c r="G3">
        <f>'AE Term Life'!F3*MADPct</f>
        <v>0</v>
      </c>
      <c r="H3">
        <f>'AE Term Life'!F3+'AE Term Life'!G3</f>
        <v>0</v>
      </c>
    </row>
    <row r="4">
      <c r="A4" t="str">
        <v>35-44</v>
      </c>
      <c r="B4">
        <f>'Exp Term Life'!J4</f>
        <v>0</v>
      </c>
      <c r="C4">
        <f>'Standard Table'!D25</f>
        <v>0</v>
      </c>
      <c r="D4">
        <f>'AE Term Life'!B4/'AE Term Life'!C4</f>
        <v>0</v>
      </c>
      <c r="E4">
        <f>MIN(SQRT('Exp Term Life'!I4/FullCredClaims),1)</f>
        <v>0</v>
      </c>
      <c r="F4">
        <f>'AE Term Life'!E4*'AE Term Life'!B4+(1-'AE Term Life'!E4)*'AE Term Life'!C4</f>
        <v>0</v>
      </c>
      <c r="G4">
        <f>'AE Term Life'!F4*MADPct</f>
        <v>0</v>
      </c>
      <c r="H4">
        <f>'AE Term Life'!F4+'AE Term Life'!G4</f>
        <v>0</v>
      </c>
    </row>
    <row r="5">
      <c r="A5" t="str">
        <v>45-54</v>
      </c>
      <c r="B5">
        <f>'Exp Term Life'!J5</f>
        <v>0</v>
      </c>
      <c r="C5">
        <f>'Standard Table'!D35</f>
        <v>0</v>
      </c>
      <c r="D5">
        <f>'AE Term Life'!B5/'AE Term Life'!C5</f>
        <v>0</v>
      </c>
      <c r="E5">
        <f>MIN(SQRT('Exp Term Life'!I5/FullCredClaims),1)</f>
        <v>0</v>
      </c>
      <c r="F5">
        <f>'AE Term Life'!E5*'AE Term Life'!B5+(1-'AE Term Life'!E5)*'AE Term Life'!C5</f>
        <v>0</v>
      </c>
      <c r="G5">
        <f>'AE Term Life'!F5*MADPct</f>
        <v>0</v>
      </c>
      <c r="H5">
        <f>'AE Term Life'!F5+'AE Term Life'!G5</f>
        <v>0</v>
      </c>
    </row>
    <row r="6">
      <c r="A6" t="str">
        <v>55-64</v>
      </c>
      <c r="B6">
        <f>'Exp Term Life'!J6</f>
        <v>0</v>
      </c>
      <c r="C6">
        <f>'Standard Table'!D45</f>
        <v>0</v>
      </c>
      <c r="D6">
        <f>'AE Term Life'!B6/'AE Term Life'!C6</f>
        <v>0</v>
      </c>
      <c r="E6">
        <f>MIN(SQRT('Exp Term Life'!I6/FullCredClaims),1)</f>
        <v>0</v>
      </c>
      <c r="F6">
        <f>'AE Term Life'!E6*'AE Term Life'!B6+(1-'AE Term Life'!E6)*'AE Term Life'!C6</f>
        <v>0</v>
      </c>
      <c r="G6">
        <f>'AE Term Life'!F6*MADPct</f>
        <v>0</v>
      </c>
      <c r="H6">
        <f>'AE Term Life'!F6+'AE Term Life'!G6</f>
        <v>0</v>
      </c>
    </row>
    <row r="7">
      <c r="A7" t="str">
        <v>65-74</v>
      </c>
      <c r="B7">
        <f>'Exp Term Life'!J7</f>
        <v>0</v>
      </c>
      <c r="C7">
        <f>'Standard Table'!D55</f>
        <v>0</v>
      </c>
      <c r="D7">
        <f>'AE Term Life'!B7/'AE Term Life'!C7</f>
        <v>0</v>
      </c>
      <c r="E7">
        <f>MIN(SQRT('Exp Term Life'!I7/FullCredClaims),1)</f>
        <v>0</v>
      </c>
      <c r="F7">
        <f>'AE Term Life'!E7*'AE Term Life'!B7+(1-'AE Term Life'!E7)*'AE Term Life'!C7</f>
        <v>0</v>
      </c>
      <c r="G7">
        <f>'AE Term Life'!F7*MADPct</f>
        <v>0</v>
      </c>
      <c r="H7">
        <f>'AE Term Life'!F7+'AE Term Life'!G7</f>
        <v>0</v>
      </c>
    </row>
    <row r="8">
      <c r="A8" t="str">
        <v>75-84</v>
      </c>
      <c r="B8">
        <f>'Exp Term Life'!J8</f>
        <v>0</v>
      </c>
      <c r="C8">
        <f>'Standard Table'!D65</f>
        <v>0</v>
      </c>
      <c r="D8">
        <f>'AE Term Life'!B8/'AE Term Life'!C8</f>
        <v>0</v>
      </c>
      <c r="E8">
        <f>MIN(SQRT('Exp Term Life'!I8/FullCredClaims),1)</f>
        <v>0</v>
      </c>
      <c r="F8">
        <f>'AE Term Life'!E8*'AE Term Life'!B8+(1-'AE Term Life'!E8)*'AE Term Life'!C8</f>
        <v>0</v>
      </c>
      <c r="G8">
        <f>'AE Term Life'!F8*MADPct</f>
        <v>0</v>
      </c>
      <c r="H8">
        <f>'AE Term Life'!F8+'AE Term Life'!G8</f>
        <v>0</v>
      </c>
    </row>
    <row r="9">
      <c r="A9" t="str">
        <v>85+</v>
      </c>
      <c r="B9">
        <f>'Exp Term Life'!J9</f>
        <v>0</v>
      </c>
      <c r="C9">
        <f>'Standard Table'!D75</f>
        <v>0</v>
      </c>
      <c r="D9">
        <f>'AE Term Life'!B9/'AE Term Life'!C9</f>
        <v>0</v>
      </c>
      <c r="E9">
        <f>MIN(SQRT('Exp Term Life'!I9/FullCredClaims),1)</f>
        <v>0</v>
      </c>
      <c r="F9">
        <f>'AE Term Life'!E9*'AE Term Life'!B9+(1-'AE Term Life'!E9)*'AE Term Life'!C9</f>
        <v>0</v>
      </c>
      <c r="G9">
        <f>'AE Term Life'!F9*MADPct</f>
        <v>0</v>
      </c>
      <c r="H9">
        <f>'AE Term Life'!F9+'AE Term Life'!G9</f>
        <v>0</v>
      </c>
    </row>
  </sheetData>
  <ignoredErrors>
    <ignoredError numberStoredAsText="1" sqref="A1:H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Age Band</v>
      </c>
      <c r="B1" t="str">
        <v>Actual Rate</v>
      </c>
      <c r="C1" t="str">
        <v>Expected Rate</v>
      </c>
      <c r="D1" t="str">
        <v>A/E Ratio</v>
      </c>
      <c r="E1" t="str">
        <v>Credibility Z</v>
      </c>
      <c r="F1" t="str">
        <v>Cred-Weighted Rate</v>
      </c>
      <c r="G1" t="str">
        <v>Margin</v>
      </c>
      <c r="H1" t="str">
        <v>Final Rate</v>
      </c>
    </row>
    <row r="2">
      <c r="A2" t="str">
        <v>18-24</v>
      </c>
      <c r="B2">
        <f>'Exp Whole Life'!J2</f>
        <v>0</v>
      </c>
      <c r="C2">
        <f>'Standard Table'!D5</f>
        <v>0</v>
      </c>
      <c r="D2">
        <f>'AE Whole Life'!B2/'AE Whole Life'!C2</f>
        <v>0</v>
      </c>
      <c r="E2">
        <f>MIN(SQRT('Exp Whole Life'!I2/FullCredClaims),1)</f>
        <v>0</v>
      </c>
      <c r="F2">
        <f>'AE Whole Life'!E2*'AE Whole Life'!B2+(1-'AE Whole Life'!E2)*'AE Whole Life'!C2</f>
        <v>0</v>
      </c>
      <c r="G2">
        <f>'AE Whole Life'!F2*MADPct</f>
        <v>0</v>
      </c>
      <c r="H2">
        <f>'AE Whole Life'!F2+'AE Whole Life'!G2</f>
        <v>0</v>
      </c>
    </row>
    <row r="3">
      <c r="A3" t="str">
        <v>25-34</v>
      </c>
      <c r="B3">
        <f>'Exp Whole Life'!J3</f>
        <v>0</v>
      </c>
      <c r="C3">
        <f>'Standard Table'!D15</f>
        <v>0</v>
      </c>
      <c r="D3">
        <f>'AE Whole Life'!B3/'AE Whole Life'!C3</f>
        <v>0</v>
      </c>
      <c r="E3">
        <f>MIN(SQRT('Exp Whole Life'!I3/FullCredClaims),1)</f>
        <v>0</v>
      </c>
      <c r="F3">
        <f>'AE Whole Life'!E3*'AE Whole Life'!B3+(1-'AE Whole Life'!E3)*'AE Whole Life'!C3</f>
        <v>0</v>
      </c>
      <c r="G3">
        <f>'AE Whole Life'!F3*MADPct</f>
        <v>0</v>
      </c>
      <c r="H3">
        <f>'AE Whole Life'!F3+'AE Whole Life'!G3</f>
        <v>0</v>
      </c>
    </row>
    <row r="4">
      <c r="A4" t="str">
        <v>35-44</v>
      </c>
      <c r="B4">
        <f>'Exp Whole Life'!J4</f>
        <v>0</v>
      </c>
      <c r="C4">
        <f>'Standard Table'!D25</f>
        <v>0</v>
      </c>
      <c r="D4">
        <f>'AE Whole Life'!B4/'AE Whole Life'!C4</f>
        <v>0</v>
      </c>
      <c r="E4">
        <f>MIN(SQRT('Exp Whole Life'!I4/FullCredClaims),1)</f>
        <v>0</v>
      </c>
      <c r="F4">
        <f>'AE Whole Life'!E4*'AE Whole Life'!B4+(1-'AE Whole Life'!E4)*'AE Whole Life'!C4</f>
        <v>0</v>
      </c>
      <c r="G4">
        <f>'AE Whole Life'!F4*MADPct</f>
        <v>0</v>
      </c>
      <c r="H4">
        <f>'AE Whole Life'!F4+'AE Whole Life'!G4</f>
        <v>0</v>
      </c>
    </row>
    <row r="5">
      <c r="A5" t="str">
        <v>45-54</v>
      </c>
      <c r="B5">
        <f>'Exp Whole Life'!J5</f>
        <v>0</v>
      </c>
      <c r="C5">
        <f>'Standard Table'!D35</f>
        <v>0</v>
      </c>
      <c r="D5">
        <f>'AE Whole Life'!B5/'AE Whole Life'!C5</f>
        <v>0</v>
      </c>
      <c r="E5">
        <f>MIN(SQRT('Exp Whole Life'!I5/FullCredClaims),1)</f>
        <v>0</v>
      </c>
      <c r="F5">
        <f>'AE Whole Life'!E5*'AE Whole Life'!B5+(1-'AE Whole Life'!E5)*'AE Whole Life'!C5</f>
        <v>0</v>
      </c>
      <c r="G5">
        <f>'AE Whole Life'!F5*MADPct</f>
        <v>0</v>
      </c>
      <c r="H5">
        <f>'AE Whole Life'!F5+'AE Whole Life'!G5</f>
        <v>0</v>
      </c>
    </row>
    <row r="6">
      <c r="A6" t="str">
        <v>55-64</v>
      </c>
      <c r="B6">
        <f>'Exp Whole Life'!J6</f>
        <v>0</v>
      </c>
      <c r="C6">
        <f>'Standard Table'!D45</f>
        <v>0</v>
      </c>
      <c r="D6">
        <f>'AE Whole Life'!B6/'AE Whole Life'!C6</f>
        <v>0</v>
      </c>
      <c r="E6">
        <f>MIN(SQRT('Exp Whole Life'!I6/FullCredClaims),1)</f>
        <v>0</v>
      </c>
      <c r="F6">
        <f>'AE Whole Life'!E6*'AE Whole Life'!B6+(1-'AE Whole Life'!E6)*'AE Whole Life'!C6</f>
        <v>0</v>
      </c>
      <c r="G6">
        <f>'AE Whole Life'!F6*MADPct</f>
        <v>0</v>
      </c>
      <c r="H6">
        <f>'AE Whole Life'!F6+'AE Whole Life'!G6</f>
        <v>0</v>
      </c>
    </row>
    <row r="7">
      <c r="A7" t="str">
        <v>65-74</v>
      </c>
      <c r="B7">
        <f>'Exp Whole Life'!J7</f>
        <v>0</v>
      </c>
      <c r="C7">
        <f>'Standard Table'!D55</f>
        <v>0</v>
      </c>
      <c r="D7">
        <f>'AE Whole Life'!B7/'AE Whole Life'!C7</f>
        <v>0</v>
      </c>
      <c r="E7">
        <f>MIN(SQRT('Exp Whole Life'!I7/FullCredClaims),1)</f>
        <v>0</v>
      </c>
      <c r="F7">
        <f>'AE Whole Life'!E7*'AE Whole Life'!B7+(1-'AE Whole Life'!E7)*'AE Whole Life'!C7</f>
        <v>0</v>
      </c>
      <c r="G7">
        <f>'AE Whole Life'!F7*MADPct</f>
        <v>0</v>
      </c>
      <c r="H7">
        <f>'AE Whole Life'!F7+'AE Whole Life'!G7</f>
        <v>0</v>
      </c>
    </row>
    <row r="8">
      <c r="A8" t="str">
        <v>75-84</v>
      </c>
      <c r="B8">
        <f>'Exp Whole Life'!J8</f>
        <v>0</v>
      </c>
      <c r="C8">
        <f>'Standard Table'!D65</f>
        <v>0</v>
      </c>
      <c r="D8">
        <f>'AE Whole Life'!B8/'AE Whole Life'!C8</f>
        <v>0</v>
      </c>
      <c r="E8">
        <f>MIN(SQRT('Exp Whole Life'!I8/FullCredClaims),1)</f>
        <v>0</v>
      </c>
      <c r="F8">
        <f>'AE Whole Life'!E8*'AE Whole Life'!B8+(1-'AE Whole Life'!E8)*'AE Whole Life'!C8</f>
        <v>0</v>
      </c>
      <c r="G8">
        <f>'AE Whole Life'!F8*MADPct</f>
        <v>0</v>
      </c>
      <c r="H8">
        <f>'AE Whole Life'!F8+'AE Whole Life'!G8</f>
        <v>0</v>
      </c>
    </row>
    <row r="9">
      <c r="A9" t="str">
        <v>85+</v>
      </c>
      <c r="B9">
        <f>'Exp Whole Life'!J9</f>
        <v>0</v>
      </c>
      <c r="C9">
        <f>'Standard Table'!D75</f>
        <v>0</v>
      </c>
      <c r="D9">
        <f>'AE Whole Life'!B9/'AE Whole Life'!C9</f>
        <v>0</v>
      </c>
      <c r="E9">
        <f>MIN(SQRT('Exp Whole Life'!I9/FullCredClaims),1)</f>
        <v>0</v>
      </c>
      <c r="F9">
        <f>'AE Whole Life'!E9*'AE Whole Life'!B9+(1-'AE Whole Life'!E9)*'AE Whole Life'!C9</f>
        <v>0</v>
      </c>
      <c r="G9">
        <f>'AE Whole Life'!F9*MADPct</f>
        <v>0</v>
      </c>
      <c r="H9">
        <f>'AE Whole Life'!F9+'AE Whole Life'!G9</f>
        <v>0</v>
      </c>
    </row>
  </sheetData>
  <ignoredErrors>
    <ignoredError numberStoredAsText="1" sqref="A1:H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Age Band</v>
      </c>
      <c r="B1" t="str">
        <v>Actual Rate</v>
      </c>
      <c r="C1" t="str">
        <v>Expected Rate</v>
      </c>
      <c r="D1" t="str">
        <v>A/E Ratio</v>
      </c>
      <c r="E1" t="str">
        <v>Credibility Z</v>
      </c>
      <c r="F1" t="str">
        <v>Cred-Weighted Rate</v>
      </c>
      <c r="G1" t="str">
        <v>Margin</v>
      </c>
      <c r="H1" t="str">
        <v>Final Rate</v>
      </c>
    </row>
    <row r="2">
      <c r="A2" t="str">
        <v>18-24</v>
      </c>
      <c r="B2">
        <f>'Exp Universal Life'!J2</f>
        <v>0</v>
      </c>
      <c r="C2">
        <f>'Standard Table'!D5</f>
        <v>0</v>
      </c>
      <c r="D2">
        <f>'AE Universal Life'!B2/'AE Universal Life'!C2</f>
        <v>0</v>
      </c>
      <c r="E2">
        <f>MIN(SQRT('Exp Universal Life'!I2/FullCredClaims),1)</f>
        <v>0</v>
      </c>
      <c r="F2">
        <f>'AE Universal Life'!E2*'AE Universal Life'!B2+(1-'AE Universal Life'!E2)*'AE Universal Life'!C2</f>
        <v>0</v>
      </c>
      <c r="G2">
        <f>'AE Universal Life'!F2*MADPct</f>
        <v>0</v>
      </c>
      <c r="H2">
        <f>'AE Universal Life'!F2+'AE Universal Life'!G2</f>
        <v>0</v>
      </c>
    </row>
    <row r="3">
      <c r="A3" t="str">
        <v>25-34</v>
      </c>
      <c r="B3">
        <f>'Exp Universal Life'!J3</f>
        <v>0</v>
      </c>
      <c r="C3">
        <f>'Standard Table'!D15</f>
        <v>0</v>
      </c>
      <c r="D3">
        <f>'AE Universal Life'!B3/'AE Universal Life'!C3</f>
        <v>0</v>
      </c>
      <c r="E3">
        <f>MIN(SQRT('Exp Universal Life'!I3/FullCredClaims),1)</f>
        <v>0</v>
      </c>
      <c r="F3">
        <f>'AE Universal Life'!E3*'AE Universal Life'!B3+(1-'AE Universal Life'!E3)*'AE Universal Life'!C3</f>
        <v>0</v>
      </c>
      <c r="G3">
        <f>'AE Universal Life'!F3*MADPct</f>
        <v>0</v>
      </c>
      <c r="H3">
        <f>'AE Universal Life'!F3+'AE Universal Life'!G3</f>
        <v>0</v>
      </c>
    </row>
    <row r="4">
      <c r="A4" t="str">
        <v>35-44</v>
      </c>
      <c r="B4">
        <f>'Exp Universal Life'!J4</f>
        <v>0</v>
      </c>
      <c r="C4">
        <f>'Standard Table'!D25</f>
        <v>0</v>
      </c>
      <c r="D4">
        <f>'AE Universal Life'!B4/'AE Universal Life'!C4</f>
        <v>0</v>
      </c>
      <c r="E4">
        <f>MIN(SQRT('Exp Universal Life'!I4/FullCredClaims),1)</f>
        <v>0</v>
      </c>
      <c r="F4">
        <f>'AE Universal Life'!E4*'AE Universal Life'!B4+(1-'AE Universal Life'!E4)*'AE Universal Life'!C4</f>
        <v>0</v>
      </c>
      <c r="G4">
        <f>'AE Universal Life'!F4*MADPct</f>
        <v>0</v>
      </c>
      <c r="H4">
        <f>'AE Universal Life'!F4+'AE Universal Life'!G4</f>
        <v>0</v>
      </c>
    </row>
    <row r="5">
      <c r="A5" t="str">
        <v>45-54</v>
      </c>
      <c r="B5">
        <f>'Exp Universal Life'!J5</f>
        <v>0</v>
      </c>
      <c r="C5">
        <f>'Standard Table'!D35</f>
        <v>0</v>
      </c>
      <c r="D5">
        <f>'AE Universal Life'!B5/'AE Universal Life'!C5</f>
        <v>0</v>
      </c>
      <c r="E5">
        <f>MIN(SQRT('Exp Universal Life'!I5/FullCredClaims),1)</f>
        <v>0</v>
      </c>
      <c r="F5">
        <f>'AE Universal Life'!E5*'AE Universal Life'!B5+(1-'AE Universal Life'!E5)*'AE Universal Life'!C5</f>
        <v>0</v>
      </c>
      <c r="G5">
        <f>'AE Universal Life'!F5*MADPct</f>
        <v>0</v>
      </c>
      <c r="H5">
        <f>'AE Universal Life'!F5+'AE Universal Life'!G5</f>
        <v>0</v>
      </c>
    </row>
    <row r="6">
      <c r="A6" t="str">
        <v>55-64</v>
      </c>
      <c r="B6">
        <f>'Exp Universal Life'!J6</f>
        <v>0</v>
      </c>
      <c r="C6">
        <f>'Standard Table'!D45</f>
        <v>0</v>
      </c>
      <c r="D6">
        <f>'AE Universal Life'!B6/'AE Universal Life'!C6</f>
        <v>0</v>
      </c>
      <c r="E6">
        <f>MIN(SQRT('Exp Universal Life'!I6/FullCredClaims),1)</f>
        <v>0</v>
      </c>
      <c r="F6">
        <f>'AE Universal Life'!E6*'AE Universal Life'!B6+(1-'AE Universal Life'!E6)*'AE Universal Life'!C6</f>
        <v>0</v>
      </c>
      <c r="G6">
        <f>'AE Universal Life'!F6*MADPct</f>
        <v>0</v>
      </c>
      <c r="H6">
        <f>'AE Universal Life'!F6+'AE Universal Life'!G6</f>
        <v>0</v>
      </c>
    </row>
    <row r="7">
      <c r="A7" t="str">
        <v>65-74</v>
      </c>
      <c r="B7">
        <f>'Exp Universal Life'!J7</f>
        <v>0</v>
      </c>
      <c r="C7">
        <f>'Standard Table'!D55</f>
        <v>0</v>
      </c>
      <c r="D7">
        <f>'AE Universal Life'!B7/'AE Universal Life'!C7</f>
        <v>0</v>
      </c>
      <c r="E7">
        <f>MIN(SQRT('Exp Universal Life'!I7/FullCredClaims),1)</f>
        <v>0</v>
      </c>
      <c r="F7">
        <f>'AE Universal Life'!E7*'AE Universal Life'!B7+(1-'AE Universal Life'!E7)*'AE Universal Life'!C7</f>
        <v>0</v>
      </c>
      <c r="G7">
        <f>'AE Universal Life'!F7*MADPct</f>
        <v>0</v>
      </c>
      <c r="H7">
        <f>'AE Universal Life'!F7+'AE Universal Life'!G7</f>
        <v>0</v>
      </c>
    </row>
    <row r="8">
      <c r="A8" t="str">
        <v>75-84</v>
      </c>
      <c r="B8">
        <f>'Exp Universal Life'!J8</f>
        <v>0</v>
      </c>
      <c r="C8">
        <f>'Standard Table'!D65</f>
        <v>0</v>
      </c>
      <c r="D8">
        <f>'AE Universal Life'!B8/'AE Universal Life'!C8</f>
        <v>0</v>
      </c>
      <c r="E8">
        <f>MIN(SQRT('Exp Universal Life'!I8/FullCredClaims),1)</f>
        <v>0</v>
      </c>
      <c r="F8">
        <f>'AE Universal Life'!E8*'AE Universal Life'!B8+(1-'AE Universal Life'!E8)*'AE Universal Life'!C8</f>
        <v>0</v>
      </c>
      <c r="G8">
        <f>'AE Universal Life'!F8*MADPct</f>
        <v>0</v>
      </c>
      <c r="H8">
        <f>'AE Universal Life'!F8+'AE Universal Life'!G8</f>
        <v>0</v>
      </c>
    </row>
    <row r="9">
      <c r="A9" t="str">
        <v>85+</v>
      </c>
      <c r="B9">
        <f>'Exp Universal Life'!J9</f>
        <v>0</v>
      </c>
      <c r="C9">
        <f>'Standard Table'!D75</f>
        <v>0</v>
      </c>
      <c r="D9">
        <f>'AE Universal Life'!B9/'AE Universal Life'!C9</f>
        <v>0</v>
      </c>
      <c r="E9">
        <f>MIN(SQRT('Exp Universal Life'!I9/FullCredClaims),1)</f>
        <v>0</v>
      </c>
      <c r="F9">
        <f>'AE Universal Life'!E9*'AE Universal Life'!B9+(1-'AE Universal Life'!E9)*'AE Universal Life'!C9</f>
        <v>0</v>
      </c>
      <c r="G9">
        <f>'AE Universal Life'!F9*MADPct</f>
        <v>0</v>
      </c>
      <c r="H9">
        <f>'AE Universal Life'!F9+'AE Universal Life'!G9</f>
        <v>0</v>
      </c>
    </row>
  </sheetData>
  <ignoredErrors>
    <ignoredError numberStoredAsText="1" sqref="A1:H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Age Band</v>
      </c>
      <c r="B1" t="str">
        <v>Actual Rate</v>
      </c>
      <c r="C1" t="str">
        <v>Expected Rate</v>
      </c>
      <c r="D1" t="str">
        <v>A/E Ratio</v>
      </c>
      <c r="E1" t="str">
        <v>Credibility Z</v>
      </c>
      <c r="F1" t="str">
        <v>Cred-Weighted Rate</v>
      </c>
      <c r="G1" t="str">
        <v>Margin</v>
      </c>
      <c r="H1" t="str">
        <v>Final Rate</v>
      </c>
    </row>
    <row r="2">
      <c r="A2" t="str">
        <v>18-24</v>
      </c>
      <c r="B2">
        <f>'Exp Variable Life'!J2</f>
        <v>0</v>
      </c>
      <c r="C2">
        <f>'Standard Table'!D5</f>
        <v>0</v>
      </c>
      <c r="D2">
        <f>'AE Variable Life'!B2/'AE Variable Life'!C2</f>
        <v>0</v>
      </c>
      <c r="E2">
        <f>MIN(SQRT('Exp Variable Life'!I2/FullCredClaims),1)</f>
        <v>0</v>
      </c>
      <c r="F2">
        <f>'AE Variable Life'!E2*'AE Variable Life'!B2+(1-'AE Variable Life'!E2)*'AE Variable Life'!C2</f>
        <v>0</v>
      </c>
      <c r="G2">
        <f>'AE Variable Life'!F2*MADPct</f>
        <v>0</v>
      </c>
      <c r="H2">
        <f>'AE Variable Life'!F2+'AE Variable Life'!G2</f>
        <v>0</v>
      </c>
    </row>
    <row r="3">
      <c r="A3" t="str">
        <v>25-34</v>
      </c>
      <c r="B3">
        <f>'Exp Variable Life'!J3</f>
        <v>0</v>
      </c>
      <c r="C3">
        <f>'Standard Table'!D15</f>
        <v>0</v>
      </c>
      <c r="D3">
        <f>'AE Variable Life'!B3/'AE Variable Life'!C3</f>
        <v>0</v>
      </c>
      <c r="E3">
        <f>MIN(SQRT('Exp Variable Life'!I3/FullCredClaims),1)</f>
        <v>0</v>
      </c>
      <c r="F3">
        <f>'AE Variable Life'!E3*'AE Variable Life'!B3+(1-'AE Variable Life'!E3)*'AE Variable Life'!C3</f>
        <v>0</v>
      </c>
      <c r="G3">
        <f>'AE Variable Life'!F3*MADPct</f>
        <v>0</v>
      </c>
      <c r="H3">
        <f>'AE Variable Life'!F3+'AE Variable Life'!G3</f>
        <v>0</v>
      </c>
    </row>
    <row r="4">
      <c r="A4" t="str">
        <v>35-44</v>
      </c>
      <c r="B4">
        <f>'Exp Variable Life'!J4</f>
        <v>0</v>
      </c>
      <c r="C4">
        <f>'Standard Table'!D25</f>
        <v>0</v>
      </c>
      <c r="D4">
        <f>'AE Variable Life'!B4/'AE Variable Life'!C4</f>
        <v>0</v>
      </c>
      <c r="E4">
        <f>MIN(SQRT('Exp Variable Life'!I4/FullCredClaims),1)</f>
        <v>0</v>
      </c>
      <c r="F4">
        <f>'AE Variable Life'!E4*'AE Variable Life'!B4+(1-'AE Variable Life'!E4)*'AE Variable Life'!C4</f>
        <v>0</v>
      </c>
      <c r="G4">
        <f>'AE Variable Life'!F4*MADPct</f>
        <v>0</v>
      </c>
      <c r="H4">
        <f>'AE Variable Life'!F4+'AE Variable Life'!G4</f>
        <v>0</v>
      </c>
    </row>
    <row r="5">
      <c r="A5" t="str">
        <v>45-54</v>
      </c>
      <c r="B5">
        <f>'Exp Variable Life'!J5</f>
        <v>0</v>
      </c>
      <c r="C5">
        <f>'Standard Table'!D35</f>
        <v>0</v>
      </c>
      <c r="D5">
        <f>'AE Variable Life'!B5/'AE Variable Life'!C5</f>
        <v>0</v>
      </c>
      <c r="E5">
        <f>MIN(SQRT('Exp Variable Life'!I5/FullCredClaims),1)</f>
        <v>0</v>
      </c>
      <c r="F5">
        <f>'AE Variable Life'!E5*'AE Variable Life'!B5+(1-'AE Variable Life'!E5)*'AE Variable Life'!C5</f>
        <v>0</v>
      </c>
      <c r="G5">
        <f>'AE Variable Life'!F5*MADPct</f>
        <v>0</v>
      </c>
      <c r="H5">
        <f>'AE Variable Life'!F5+'AE Variable Life'!G5</f>
        <v>0</v>
      </c>
    </row>
    <row r="6">
      <c r="A6" t="str">
        <v>55-64</v>
      </c>
      <c r="B6">
        <f>'Exp Variable Life'!J6</f>
        <v>0</v>
      </c>
      <c r="C6">
        <f>'Standard Table'!D45</f>
        <v>0</v>
      </c>
      <c r="D6">
        <f>'AE Variable Life'!B6/'AE Variable Life'!C6</f>
        <v>0</v>
      </c>
      <c r="E6">
        <f>MIN(SQRT('Exp Variable Life'!I6/FullCredClaims),1)</f>
        <v>0</v>
      </c>
      <c r="F6">
        <f>'AE Variable Life'!E6*'AE Variable Life'!B6+(1-'AE Variable Life'!E6)*'AE Variable Life'!C6</f>
        <v>0</v>
      </c>
      <c r="G6">
        <f>'AE Variable Life'!F6*MADPct</f>
        <v>0</v>
      </c>
      <c r="H6">
        <f>'AE Variable Life'!F6+'AE Variable Life'!G6</f>
        <v>0</v>
      </c>
    </row>
    <row r="7">
      <c r="A7" t="str">
        <v>65-74</v>
      </c>
      <c r="B7">
        <f>'Exp Variable Life'!J7</f>
        <v>0</v>
      </c>
      <c r="C7">
        <f>'Standard Table'!D55</f>
        <v>0</v>
      </c>
      <c r="D7">
        <f>'AE Variable Life'!B7/'AE Variable Life'!C7</f>
        <v>0</v>
      </c>
      <c r="E7">
        <f>MIN(SQRT('Exp Variable Life'!I7/FullCredClaims),1)</f>
        <v>0</v>
      </c>
      <c r="F7">
        <f>'AE Variable Life'!E7*'AE Variable Life'!B7+(1-'AE Variable Life'!E7)*'AE Variable Life'!C7</f>
        <v>0</v>
      </c>
      <c r="G7">
        <f>'AE Variable Life'!F7*MADPct</f>
        <v>0</v>
      </c>
      <c r="H7">
        <f>'AE Variable Life'!F7+'AE Variable Life'!G7</f>
        <v>0</v>
      </c>
    </row>
    <row r="8">
      <c r="A8" t="str">
        <v>75-84</v>
      </c>
      <c r="B8">
        <f>'Exp Variable Life'!J8</f>
        <v>0</v>
      </c>
      <c r="C8">
        <f>'Standard Table'!D65</f>
        <v>0</v>
      </c>
      <c r="D8">
        <f>'AE Variable Life'!B8/'AE Variable Life'!C8</f>
        <v>0</v>
      </c>
      <c r="E8">
        <f>MIN(SQRT('Exp Variable Life'!I8/FullCredClaims),1)</f>
        <v>0</v>
      </c>
      <c r="F8">
        <f>'AE Variable Life'!E8*'AE Variable Life'!B8+(1-'AE Variable Life'!E8)*'AE Variable Life'!C8</f>
        <v>0</v>
      </c>
      <c r="G8">
        <f>'AE Variable Life'!F8*MADPct</f>
        <v>0</v>
      </c>
      <c r="H8">
        <f>'AE Variable Life'!F8+'AE Variable Life'!G8</f>
        <v>0</v>
      </c>
    </row>
    <row r="9">
      <c r="A9" t="str">
        <v>85+</v>
      </c>
      <c r="B9">
        <f>'Exp Variable Life'!J9</f>
        <v>0</v>
      </c>
      <c r="C9">
        <f>'Standard Table'!D75</f>
        <v>0</v>
      </c>
      <c r="D9">
        <f>'AE Variable Life'!B9/'AE Variable Life'!C9</f>
        <v>0</v>
      </c>
      <c r="E9">
        <f>MIN(SQRT('Exp Variable Life'!I9/FullCredClaims),1)</f>
        <v>0</v>
      </c>
      <c r="F9">
        <f>'AE Variable Life'!E9*'AE Variable Life'!B9+(1-'AE Variable Life'!E9)*'AE Variable Life'!C9</f>
        <v>0</v>
      </c>
      <c r="G9">
        <f>'AE Variable Life'!F9*MADPct</f>
        <v>0</v>
      </c>
      <c r="H9">
        <f>'AE Variable Life'!F9+'AE Variable Life'!G9</f>
        <v>0</v>
      </c>
    </row>
  </sheetData>
  <ignoredErrors>
    <ignoredError numberStoredAsText="1" sqref="A1:H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Age Band</v>
      </c>
      <c r="B1" t="str">
        <v>Actual Rate</v>
      </c>
      <c r="C1" t="str">
        <v>Expected Rate</v>
      </c>
      <c r="D1" t="str">
        <v>A/E Ratio</v>
      </c>
      <c r="E1" t="str">
        <v>Credibility Z</v>
      </c>
      <c r="F1" t="str">
        <v>Cred-Weighted Rate</v>
      </c>
      <c r="G1" t="str">
        <v>Margin</v>
      </c>
      <c r="H1" t="str">
        <v>Final Rate</v>
      </c>
    </row>
    <row r="2">
      <c r="A2" t="str">
        <v>18-24</v>
      </c>
      <c r="B2">
        <f>'Exp Group Life'!J2</f>
        <v>0</v>
      </c>
      <c r="C2">
        <f>'Standard Table'!D5</f>
        <v>0</v>
      </c>
      <c r="D2">
        <f>'AE Group Life'!B2/'AE Group Life'!C2</f>
        <v>0</v>
      </c>
      <c r="E2">
        <f>MIN(SQRT('Exp Group Life'!I2/FullCredClaims),1)</f>
        <v>0</v>
      </c>
      <c r="F2">
        <f>'AE Group Life'!E2*'AE Group Life'!B2+(1-'AE Group Life'!E2)*'AE Group Life'!C2</f>
        <v>0</v>
      </c>
      <c r="G2">
        <f>'AE Group Life'!F2*MADPct</f>
        <v>0</v>
      </c>
      <c r="H2">
        <f>'AE Group Life'!F2+'AE Group Life'!G2</f>
        <v>0</v>
      </c>
    </row>
    <row r="3">
      <c r="A3" t="str">
        <v>25-34</v>
      </c>
      <c r="B3">
        <f>'Exp Group Life'!J3</f>
        <v>0</v>
      </c>
      <c r="C3">
        <f>'Standard Table'!D15</f>
        <v>0</v>
      </c>
      <c r="D3">
        <f>'AE Group Life'!B3/'AE Group Life'!C3</f>
        <v>0</v>
      </c>
      <c r="E3">
        <f>MIN(SQRT('Exp Group Life'!I3/FullCredClaims),1)</f>
        <v>0</v>
      </c>
      <c r="F3">
        <f>'AE Group Life'!E3*'AE Group Life'!B3+(1-'AE Group Life'!E3)*'AE Group Life'!C3</f>
        <v>0</v>
      </c>
      <c r="G3">
        <f>'AE Group Life'!F3*MADPct</f>
        <v>0</v>
      </c>
      <c r="H3">
        <f>'AE Group Life'!F3+'AE Group Life'!G3</f>
        <v>0</v>
      </c>
    </row>
    <row r="4">
      <c r="A4" t="str">
        <v>35-44</v>
      </c>
      <c r="B4">
        <f>'Exp Group Life'!J4</f>
        <v>0</v>
      </c>
      <c r="C4">
        <f>'Standard Table'!D25</f>
        <v>0</v>
      </c>
      <c r="D4">
        <f>'AE Group Life'!B4/'AE Group Life'!C4</f>
        <v>0</v>
      </c>
      <c r="E4">
        <f>MIN(SQRT('Exp Group Life'!I4/FullCredClaims),1)</f>
        <v>0</v>
      </c>
      <c r="F4">
        <f>'AE Group Life'!E4*'AE Group Life'!B4+(1-'AE Group Life'!E4)*'AE Group Life'!C4</f>
        <v>0</v>
      </c>
      <c r="G4">
        <f>'AE Group Life'!F4*MADPct</f>
        <v>0</v>
      </c>
      <c r="H4">
        <f>'AE Group Life'!F4+'AE Group Life'!G4</f>
        <v>0</v>
      </c>
    </row>
    <row r="5">
      <c r="A5" t="str">
        <v>45-54</v>
      </c>
      <c r="B5">
        <f>'Exp Group Life'!J5</f>
        <v>0</v>
      </c>
      <c r="C5">
        <f>'Standard Table'!D35</f>
        <v>0</v>
      </c>
      <c r="D5">
        <f>'AE Group Life'!B5/'AE Group Life'!C5</f>
        <v>0</v>
      </c>
      <c r="E5">
        <f>MIN(SQRT('Exp Group Life'!I5/FullCredClaims),1)</f>
        <v>0</v>
      </c>
      <c r="F5">
        <f>'AE Group Life'!E5*'AE Group Life'!B5+(1-'AE Group Life'!E5)*'AE Group Life'!C5</f>
        <v>0</v>
      </c>
      <c r="G5">
        <f>'AE Group Life'!F5*MADPct</f>
        <v>0</v>
      </c>
      <c r="H5">
        <f>'AE Group Life'!F5+'AE Group Life'!G5</f>
        <v>0</v>
      </c>
    </row>
    <row r="6">
      <c r="A6" t="str">
        <v>55-64</v>
      </c>
      <c r="B6">
        <f>'Exp Group Life'!J6</f>
        <v>0</v>
      </c>
      <c r="C6">
        <f>'Standard Table'!D45</f>
        <v>0</v>
      </c>
      <c r="D6">
        <f>'AE Group Life'!B6/'AE Group Life'!C6</f>
        <v>0</v>
      </c>
      <c r="E6">
        <f>MIN(SQRT('Exp Group Life'!I6/FullCredClaims),1)</f>
        <v>0</v>
      </c>
      <c r="F6">
        <f>'AE Group Life'!E6*'AE Group Life'!B6+(1-'AE Group Life'!E6)*'AE Group Life'!C6</f>
        <v>0</v>
      </c>
      <c r="G6">
        <f>'AE Group Life'!F6*MADPct</f>
        <v>0</v>
      </c>
      <c r="H6">
        <f>'AE Group Life'!F6+'AE Group Life'!G6</f>
        <v>0</v>
      </c>
    </row>
    <row r="7">
      <c r="A7" t="str">
        <v>65-74</v>
      </c>
      <c r="B7">
        <f>'Exp Group Life'!J7</f>
        <v>0</v>
      </c>
      <c r="C7">
        <f>'Standard Table'!D55</f>
        <v>0</v>
      </c>
      <c r="D7">
        <f>'AE Group Life'!B7/'AE Group Life'!C7</f>
        <v>0</v>
      </c>
      <c r="E7">
        <f>MIN(SQRT('Exp Group Life'!I7/FullCredClaims),1)</f>
        <v>0</v>
      </c>
      <c r="F7">
        <f>'AE Group Life'!E7*'AE Group Life'!B7+(1-'AE Group Life'!E7)*'AE Group Life'!C7</f>
        <v>0</v>
      </c>
      <c r="G7">
        <f>'AE Group Life'!F7*MADPct</f>
        <v>0</v>
      </c>
      <c r="H7">
        <f>'AE Group Life'!F7+'AE Group Life'!G7</f>
        <v>0</v>
      </c>
    </row>
    <row r="8">
      <c r="A8" t="str">
        <v>75-84</v>
      </c>
      <c r="B8">
        <f>'Exp Group Life'!J8</f>
        <v>0</v>
      </c>
      <c r="C8">
        <f>'Standard Table'!D65</f>
        <v>0</v>
      </c>
      <c r="D8">
        <f>'AE Group Life'!B8/'AE Group Life'!C8</f>
        <v>0</v>
      </c>
      <c r="E8">
        <f>MIN(SQRT('Exp Group Life'!I8/FullCredClaims),1)</f>
        <v>0</v>
      </c>
      <c r="F8">
        <f>'AE Group Life'!E8*'AE Group Life'!B8+(1-'AE Group Life'!E8)*'AE Group Life'!C8</f>
        <v>0</v>
      </c>
      <c r="G8">
        <f>'AE Group Life'!F8*MADPct</f>
        <v>0</v>
      </c>
      <c r="H8">
        <f>'AE Group Life'!F8+'AE Group Life'!G8</f>
        <v>0</v>
      </c>
    </row>
    <row r="9">
      <c r="A9" t="str">
        <v>85+</v>
      </c>
      <c r="B9">
        <f>'Exp Group Life'!J9</f>
        <v>0</v>
      </c>
      <c r="C9">
        <f>'Standard Table'!D75</f>
        <v>0</v>
      </c>
      <c r="D9">
        <f>'AE Group Life'!B9/'AE Group Life'!C9</f>
        <v>0</v>
      </c>
      <c r="E9">
        <f>MIN(SQRT('Exp Group Life'!I9/FullCredClaims),1)</f>
        <v>0</v>
      </c>
      <c r="F9">
        <f>'AE Group Life'!E9*'AE Group Life'!B9+(1-'AE Group Life'!E9)*'AE Group Life'!C9</f>
        <v>0</v>
      </c>
      <c r="G9">
        <f>'AE Group Life'!F9*MADPct</f>
        <v>0</v>
      </c>
      <c r="H9">
        <f>'AE Group Life'!F9+'AE Group Life'!G9</f>
        <v>0</v>
      </c>
    </row>
  </sheetData>
  <ignoredErrors>
    <ignoredError numberStoredAsText="1" sqref="A1:H9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Age Band</v>
      </c>
      <c r="B1" t="str">
        <v>Raw Rate</v>
      </c>
      <c r="C1" t="str">
        <v>Smoothed</v>
      </c>
      <c r="D1" t="str">
        <v>Graduated</v>
      </c>
      <c r="E1" t="str">
        <v>Select Factor</v>
      </c>
      <c r="F1" t="str">
        <v>Ultimate Rate</v>
      </c>
    </row>
    <row r="2">
      <c r="A2" t="str">
        <v>18-24</v>
      </c>
      <c r="B2">
        <v>0.002</v>
      </c>
      <c r="C2">
        <f>'Dec Mortality'!B2*0.7+'Dec Mortality'!B3*0.3</f>
        <v>0</v>
      </c>
      <c r="D2">
        <f>'Dec Mortality'!C2*(1-SmoothFactor)+'Dec Mortality'!B2*SmoothFactor</f>
        <v>0</v>
      </c>
      <c r="E2">
        <v>1</v>
      </c>
      <c r="F2">
        <f>'Dec Mortality'!D2*'Dec Mortality'!E2</f>
        <v>0</v>
      </c>
    </row>
    <row r="3">
      <c r="A3" t="str">
        <v>25-34</v>
      </c>
      <c r="B3">
        <v>0.005</v>
      </c>
      <c r="C3">
        <f>'Dec Mortality'!B2*0.15+'Dec Mortality'!B3*0.7+'Dec Mortality'!B4*0.15</f>
        <v>0</v>
      </c>
      <c r="D3">
        <f>'Dec Mortality'!C3*(1-SmoothFactor)+'Dec Mortality'!B3*SmoothFactor</f>
        <v>0</v>
      </c>
      <c r="E3">
        <v>1</v>
      </c>
      <c r="F3">
        <f>'Dec Mortality'!D3*'Dec Mortality'!E3</f>
        <v>0</v>
      </c>
    </row>
    <row r="4">
      <c r="A4" t="str">
        <v>35-44</v>
      </c>
      <c r="B4">
        <v>0.008</v>
      </c>
      <c r="C4">
        <f>'Dec Mortality'!B3*0.15+'Dec Mortality'!B4*0.7+'Dec Mortality'!B5*0.15</f>
        <v>0</v>
      </c>
      <c r="D4">
        <f>'Dec Mortality'!C4*(1-SmoothFactor)+'Dec Mortality'!B4*SmoothFactor</f>
        <v>0</v>
      </c>
      <c r="E4">
        <v>1</v>
      </c>
      <c r="F4">
        <f>'Dec Mortality'!D4*'Dec Mortality'!E4</f>
        <v>0</v>
      </c>
    </row>
    <row r="5">
      <c r="A5" t="str">
        <v>45-54</v>
      </c>
      <c r="B5">
        <v>0.011</v>
      </c>
      <c r="C5">
        <f>'Dec Mortality'!B4*0.15+'Dec Mortality'!B5*0.7+'Dec Mortality'!B6*0.15</f>
        <v>0</v>
      </c>
      <c r="D5">
        <f>'Dec Mortality'!C5*(1-SmoothFactor)+'Dec Mortality'!B5*SmoothFactor</f>
        <v>0</v>
      </c>
      <c r="E5">
        <v>1</v>
      </c>
      <c r="F5">
        <f>'Dec Mortality'!D5*'Dec Mortality'!E5</f>
        <v>0</v>
      </c>
    </row>
    <row r="6">
      <c r="A6" t="str">
        <v>55-64</v>
      </c>
      <c r="B6">
        <v>0.014</v>
      </c>
      <c r="C6">
        <f>'Dec Mortality'!B5*0.15+'Dec Mortality'!B6*0.7+'Dec Mortality'!B7*0.15</f>
        <v>0</v>
      </c>
      <c r="D6">
        <f>'Dec Mortality'!C6*(1-SmoothFactor)+'Dec Mortality'!B6*SmoothFactor</f>
        <v>0</v>
      </c>
      <c r="E6">
        <v>1</v>
      </c>
      <c r="F6">
        <f>'Dec Mortality'!D6*'Dec Mortality'!E6</f>
        <v>0</v>
      </c>
    </row>
    <row r="7">
      <c r="A7" t="str">
        <v>65-74</v>
      </c>
      <c r="B7">
        <v>0.017</v>
      </c>
      <c r="C7">
        <f>'Dec Mortality'!B6*0.15+'Dec Mortality'!B7*0.7+'Dec Mortality'!B8*0.15</f>
        <v>0</v>
      </c>
      <c r="D7">
        <f>'Dec Mortality'!C7*(1-SmoothFactor)+'Dec Mortality'!B7*SmoothFactor</f>
        <v>0</v>
      </c>
      <c r="E7">
        <v>1</v>
      </c>
      <c r="F7">
        <f>'Dec Mortality'!D7*'Dec Mortality'!E7</f>
        <v>0</v>
      </c>
    </row>
    <row r="8">
      <c r="A8" t="str">
        <v>75-84</v>
      </c>
      <c r="B8">
        <v>0.02</v>
      </c>
      <c r="C8">
        <f>'Dec Mortality'!B7*0.15+'Dec Mortality'!B8*0.7+'Dec Mortality'!B9*0.15</f>
        <v>0</v>
      </c>
      <c r="D8">
        <f>'Dec Mortality'!C8*(1-SmoothFactor)+'Dec Mortality'!B8*SmoothFactor</f>
        <v>0</v>
      </c>
      <c r="E8">
        <v>1</v>
      </c>
      <c r="F8">
        <f>'Dec Mortality'!D8*'Dec Mortality'!E8</f>
        <v>0</v>
      </c>
    </row>
    <row r="9">
      <c r="A9" t="str">
        <v>85+</v>
      </c>
      <c r="B9">
        <v>0.023</v>
      </c>
      <c r="C9">
        <f>'Dec Mortality'!B8*0.3+'Dec Mortality'!B9*0.7</f>
        <v>0</v>
      </c>
      <c r="D9">
        <f>'Dec Mortality'!C9*(1-SmoothFactor)+'Dec Mortality'!B9*SmoothFactor</f>
        <v>0</v>
      </c>
      <c r="E9">
        <v>1</v>
      </c>
      <c r="F9">
        <f>'Dec Mortality'!D9*'Dec Mortality'!E9</f>
        <v>0</v>
      </c>
    </row>
  </sheetData>
  <ignoredErrors>
    <ignoredError numberStoredAsText="1" sqref="A1:F9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Age Band</v>
      </c>
      <c r="B1" t="str">
        <v>Raw Rate</v>
      </c>
      <c r="C1" t="str">
        <v>Smoothed</v>
      </c>
      <c r="D1" t="str">
        <v>Graduated</v>
      </c>
      <c r="E1" t="str">
        <v>Select Factor</v>
      </c>
      <c r="F1" t="str">
        <v>Ultimate Rate</v>
      </c>
    </row>
    <row r="2">
      <c r="A2" t="str">
        <v>18-24</v>
      </c>
      <c r="B2">
        <v>0.08</v>
      </c>
      <c r="C2">
        <f>'Dec Lapse'!B2*0.7+'Dec Lapse'!B3*0.3</f>
        <v>0</v>
      </c>
      <c r="D2">
        <f>'Dec Lapse'!C2*(1-SmoothFactor)+'Dec Lapse'!B2*SmoothFactor</f>
        <v>0</v>
      </c>
      <c r="E2">
        <v>1.5</v>
      </c>
      <c r="F2">
        <f>'Dec Lapse'!D2*'Dec Lapse'!E2</f>
        <v>0</v>
      </c>
    </row>
    <row r="3">
      <c r="A3" t="str">
        <v>25-34</v>
      </c>
      <c r="B3">
        <v>0.075</v>
      </c>
      <c r="C3">
        <f>'Dec Lapse'!B2*0.15+'Dec Lapse'!B3*0.7+'Dec Lapse'!B4*0.15</f>
        <v>0</v>
      </c>
      <c r="D3">
        <f>'Dec Lapse'!C3*(1-SmoothFactor)+'Dec Lapse'!B3*SmoothFactor</f>
        <v>0</v>
      </c>
      <c r="E3">
        <v>1.4</v>
      </c>
      <c r="F3">
        <f>'Dec Lapse'!D3*'Dec Lapse'!E3</f>
        <v>0</v>
      </c>
    </row>
    <row r="4">
      <c r="A4" t="str">
        <v>35-44</v>
      </c>
      <c r="B4">
        <v>0.07</v>
      </c>
      <c r="C4">
        <f>'Dec Lapse'!B3*0.15+'Dec Lapse'!B4*0.7+'Dec Lapse'!B5*0.15</f>
        <v>0</v>
      </c>
      <c r="D4">
        <f>'Dec Lapse'!C4*(1-SmoothFactor)+'Dec Lapse'!B4*SmoothFactor</f>
        <v>0</v>
      </c>
      <c r="E4">
        <v>1.3</v>
      </c>
      <c r="F4">
        <f>'Dec Lapse'!D4*'Dec Lapse'!E4</f>
        <v>0</v>
      </c>
    </row>
    <row r="5">
      <c r="A5" t="str">
        <v>45-54</v>
      </c>
      <c r="B5">
        <v>0.065</v>
      </c>
      <c r="C5">
        <f>'Dec Lapse'!B4*0.15+'Dec Lapse'!B5*0.7+'Dec Lapse'!B6*0.15</f>
        <v>0</v>
      </c>
      <c r="D5">
        <f>'Dec Lapse'!C5*(1-SmoothFactor)+'Dec Lapse'!B5*SmoothFactor</f>
        <v>0</v>
      </c>
      <c r="E5">
        <v>1.2</v>
      </c>
      <c r="F5">
        <f>'Dec Lapse'!D5*'Dec Lapse'!E5</f>
        <v>0</v>
      </c>
    </row>
    <row r="6">
      <c r="A6" t="str">
        <v>55-64</v>
      </c>
      <c r="B6">
        <v>0.06</v>
      </c>
      <c r="C6">
        <f>'Dec Lapse'!B5*0.15+'Dec Lapse'!B6*0.7+'Dec Lapse'!B7*0.15</f>
        <v>0</v>
      </c>
      <c r="D6">
        <f>'Dec Lapse'!C6*(1-SmoothFactor)+'Dec Lapse'!B6*SmoothFactor</f>
        <v>0</v>
      </c>
      <c r="E6">
        <v>1.1</v>
      </c>
      <c r="F6">
        <f>'Dec Lapse'!D6*'Dec Lapse'!E6</f>
        <v>0</v>
      </c>
    </row>
    <row r="7">
      <c r="A7" t="str">
        <v>65-74</v>
      </c>
      <c r="B7">
        <v>0.055</v>
      </c>
      <c r="C7">
        <f>'Dec Lapse'!B6*0.15+'Dec Lapse'!B7*0.7+'Dec Lapse'!B8*0.15</f>
        <v>0</v>
      </c>
      <c r="D7">
        <f>'Dec Lapse'!C7*(1-SmoothFactor)+'Dec Lapse'!B7*SmoothFactor</f>
        <v>0</v>
      </c>
      <c r="E7">
        <v>1</v>
      </c>
      <c r="F7">
        <f>'Dec Lapse'!D7*'Dec Lapse'!E7</f>
        <v>0</v>
      </c>
    </row>
    <row r="8">
      <c r="A8" t="str">
        <v>75-84</v>
      </c>
      <c r="B8">
        <v>0.05</v>
      </c>
      <c r="C8">
        <f>'Dec Lapse'!B7*0.15+'Dec Lapse'!B8*0.7+'Dec Lapse'!B9*0.15</f>
        <v>0</v>
      </c>
      <c r="D8">
        <f>'Dec Lapse'!C8*(1-SmoothFactor)+'Dec Lapse'!B8*SmoothFactor</f>
        <v>0</v>
      </c>
      <c r="E8">
        <v>0.8999999999999999</v>
      </c>
      <c r="F8">
        <f>'Dec Lapse'!D8*'Dec Lapse'!E8</f>
        <v>0</v>
      </c>
    </row>
    <row r="9">
      <c r="A9" t="str">
        <v>85+</v>
      </c>
      <c r="B9">
        <v>0.045</v>
      </c>
      <c r="C9">
        <f>'Dec Lapse'!B8*0.3+'Dec Lapse'!B9*0.7</f>
        <v>0</v>
      </c>
      <c r="D9">
        <f>'Dec Lapse'!C9*(1-SmoothFactor)+'Dec Lapse'!B9*SmoothFactor</f>
        <v>0</v>
      </c>
      <c r="E9">
        <v>0.7999999999999999</v>
      </c>
      <c r="F9">
        <f>'Dec Lapse'!D9*'Dec Lapse'!E9</f>
        <v>0</v>
      </c>
    </row>
  </sheetData>
  <ignoredErrors>
    <ignoredError numberStoredAsText="1" sqref="A1:F9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Age Band</v>
      </c>
      <c r="B1" t="str">
        <v>Raw Rate</v>
      </c>
      <c r="C1" t="str">
        <v>Smoothed</v>
      </c>
      <c r="D1" t="str">
        <v>Graduated</v>
      </c>
      <c r="E1" t="str">
        <v>Select Factor</v>
      </c>
      <c r="F1" t="str">
        <v>Ultimate Rate</v>
      </c>
    </row>
    <row r="2">
      <c r="A2" t="str">
        <v>18-24</v>
      </c>
      <c r="B2">
        <v>0.005</v>
      </c>
      <c r="C2">
        <f>'Dec Disability'!B2*0.7+'Dec Disability'!B3*0.3</f>
        <v>0</v>
      </c>
      <c r="D2">
        <f>'Dec Disability'!C2*(1-SmoothFactor)+'Dec Disability'!B2*SmoothFactor</f>
        <v>0</v>
      </c>
      <c r="E2">
        <v>1</v>
      </c>
      <c r="F2">
        <f>'Dec Disability'!D2*'Dec Disability'!E2</f>
        <v>0</v>
      </c>
    </row>
    <row r="3">
      <c r="A3" t="str">
        <v>25-34</v>
      </c>
      <c r="B3">
        <v>0.007</v>
      </c>
      <c r="C3">
        <f>'Dec Disability'!B2*0.15+'Dec Disability'!B3*0.7+'Dec Disability'!B4*0.15</f>
        <v>0</v>
      </c>
      <c r="D3">
        <f>'Dec Disability'!C3*(1-SmoothFactor)+'Dec Disability'!B3*SmoothFactor</f>
        <v>0</v>
      </c>
      <c r="E3">
        <v>1</v>
      </c>
      <c r="F3">
        <f>'Dec Disability'!D3*'Dec Disability'!E3</f>
        <v>0</v>
      </c>
    </row>
    <row r="4">
      <c r="A4" t="str">
        <v>35-44</v>
      </c>
      <c r="B4">
        <v>0.009</v>
      </c>
      <c r="C4">
        <f>'Dec Disability'!B3*0.15+'Dec Disability'!B4*0.7+'Dec Disability'!B5*0.15</f>
        <v>0</v>
      </c>
      <c r="D4">
        <f>'Dec Disability'!C4*(1-SmoothFactor)+'Dec Disability'!B4*SmoothFactor</f>
        <v>0</v>
      </c>
      <c r="E4">
        <v>1</v>
      </c>
      <c r="F4">
        <f>'Dec Disability'!D4*'Dec Disability'!E4</f>
        <v>0</v>
      </c>
    </row>
    <row r="5">
      <c r="A5" t="str">
        <v>45-54</v>
      </c>
      <c r="B5">
        <v>0.011</v>
      </c>
      <c r="C5">
        <f>'Dec Disability'!B4*0.15+'Dec Disability'!B5*0.7+'Dec Disability'!B6*0.15</f>
        <v>0</v>
      </c>
      <c r="D5">
        <f>'Dec Disability'!C5*(1-SmoothFactor)+'Dec Disability'!B5*SmoothFactor</f>
        <v>0</v>
      </c>
      <c r="E5">
        <v>1</v>
      </c>
      <c r="F5">
        <f>'Dec Disability'!D5*'Dec Disability'!E5</f>
        <v>0</v>
      </c>
    </row>
    <row r="6">
      <c r="A6" t="str">
        <v>55-64</v>
      </c>
      <c r="B6">
        <v>0.013</v>
      </c>
      <c r="C6">
        <f>'Dec Disability'!B5*0.15+'Dec Disability'!B6*0.7+'Dec Disability'!B7*0.15</f>
        <v>0</v>
      </c>
      <c r="D6">
        <f>'Dec Disability'!C6*(1-SmoothFactor)+'Dec Disability'!B6*SmoothFactor</f>
        <v>0</v>
      </c>
      <c r="E6">
        <v>1</v>
      </c>
      <c r="F6">
        <f>'Dec Disability'!D6*'Dec Disability'!E6</f>
        <v>0</v>
      </c>
    </row>
    <row r="7">
      <c r="A7" t="str">
        <v>65-74</v>
      </c>
      <c r="B7">
        <v>0.015</v>
      </c>
      <c r="C7">
        <f>'Dec Disability'!B6*0.15+'Dec Disability'!B7*0.7+'Dec Disability'!B8*0.15</f>
        <v>0</v>
      </c>
      <c r="D7">
        <f>'Dec Disability'!C7*(1-SmoothFactor)+'Dec Disability'!B7*SmoothFactor</f>
        <v>0</v>
      </c>
      <c r="E7">
        <v>1</v>
      </c>
      <c r="F7">
        <f>'Dec Disability'!D7*'Dec Disability'!E7</f>
        <v>0</v>
      </c>
    </row>
    <row r="8">
      <c r="A8" t="str">
        <v>75-84</v>
      </c>
      <c r="B8">
        <v>0.017</v>
      </c>
      <c r="C8">
        <f>'Dec Disability'!B7*0.15+'Dec Disability'!B8*0.7+'Dec Disability'!B9*0.15</f>
        <v>0</v>
      </c>
      <c r="D8">
        <f>'Dec Disability'!C8*(1-SmoothFactor)+'Dec Disability'!B8*SmoothFactor</f>
        <v>0</v>
      </c>
      <c r="E8">
        <v>1</v>
      </c>
      <c r="F8">
        <f>'Dec Disability'!D8*'Dec Disability'!E8</f>
        <v>0</v>
      </c>
    </row>
    <row r="9">
      <c r="A9" t="str">
        <v>85+</v>
      </c>
      <c r="B9">
        <v>0.019</v>
      </c>
      <c r="C9">
        <f>'Dec Disability'!B8*0.3+'Dec Disability'!B9*0.7</f>
        <v>0</v>
      </c>
      <c r="D9">
        <f>'Dec Disability'!C9*(1-SmoothFactor)+'Dec Disability'!B9*SmoothFactor</f>
        <v>0</v>
      </c>
      <c r="E9">
        <v>1</v>
      </c>
      <c r="F9">
        <f>'Dec Disability'!D9*'Dec Disability'!E9</f>
        <v>0</v>
      </c>
    </row>
  </sheetData>
  <ignoredErrors>
    <ignoredError numberStoredAsText="1" sqref="A1:F9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Age Band</v>
      </c>
      <c r="B1" t="str">
        <v>Raw Rate</v>
      </c>
      <c r="C1" t="str">
        <v>Smoothed</v>
      </c>
      <c r="D1" t="str">
        <v>Graduated</v>
      </c>
      <c r="E1" t="str">
        <v>Select Factor</v>
      </c>
      <c r="F1" t="str">
        <v>Ultimate Rate</v>
      </c>
    </row>
    <row r="2">
      <c r="A2" t="str">
        <v>18-24</v>
      </c>
      <c r="B2">
        <v>0.3</v>
      </c>
      <c r="C2">
        <f>'Dec Recovery'!B2*0.7+'Dec Recovery'!B3*0.3</f>
        <v>0</v>
      </c>
      <c r="D2">
        <f>'Dec Recovery'!C2*(1-SmoothFactor)+'Dec Recovery'!B2*SmoothFactor</f>
        <v>0</v>
      </c>
      <c r="E2">
        <v>1</v>
      </c>
      <c r="F2">
        <f>'Dec Recovery'!D2*'Dec Recovery'!E2</f>
        <v>0</v>
      </c>
    </row>
    <row r="3">
      <c r="A3" t="str">
        <v>25-34</v>
      </c>
      <c r="B3">
        <v>0.27</v>
      </c>
      <c r="C3">
        <f>'Dec Recovery'!B2*0.15+'Dec Recovery'!B3*0.7+'Dec Recovery'!B4*0.15</f>
        <v>0</v>
      </c>
      <c r="D3">
        <f>'Dec Recovery'!C3*(1-SmoothFactor)+'Dec Recovery'!B3*SmoothFactor</f>
        <v>0</v>
      </c>
      <c r="E3">
        <v>1</v>
      </c>
      <c r="F3">
        <f>'Dec Recovery'!D3*'Dec Recovery'!E3</f>
        <v>0</v>
      </c>
    </row>
    <row r="4">
      <c r="A4" t="str">
        <v>35-44</v>
      </c>
      <c r="B4">
        <v>0.24</v>
      </c>
      <c r="C4">
        <f>'Dec Recovery'!B3*0.15+'Dec Recovery'!B4*0.7+'Dec Recovery'!B5*0.15</f>
        <v>0</v>
      </c>
      <c r="D4">
        <f>'Dec Recovery'!C4*(1-SmoothFactor)+'Dec Recovery'!B4*SmoothFactor</f>
        <v>0</v>
      </c>
      <c r="E4">
        <v>1</v>
      </c>
      <c r="F4">
        <f>'Dec Recovery'!D4*'Dec Recovery'!E4</f>
        <v>0</v>
      </c>
    </row>
    <row r="5">
      <c r="A5" t="str">
        <v>45-54</v>
      </c>
      <c r="B5">
        <v>0.21</v>
      </c>
      <c r="C5">
        <f>'Dec Recovery'!B4*0.15+'Dec Recovery'!B5*0.7+'Dec Recovery'!B6*0.15</f>
        <v>0</v>
      </c>
      <c r="D5">
        <f>'Dec Recovery'!C5*(1-SmoothFactor)+'Dec Recovery'!B5*SmoothFactor</f>
        <v>0</v>
      </c>
      <c r="E5">
        <v>1</v>
      </c>
      <c r="F5">
        <f>'Dec Recovery'!D5*'Dec Recovery'!E5</f>
        <v>0</v>
      </c>
    </row>
    <row r="6">
      <c r="A6" t="str">
        <v>55-64</v>
      </c>
      <c r="B6">
        <v>0.18</v>
      </c>
      <c r="C6">
        <f>'Dec Recovery'!B5*0.15+'Dec Recovery'!B6*0.7+'Dec Recovery'!B7*0.15</f>
        <v>0</v>
      </c>
      <c r="D6">
        <f>'Dec Recovery'!C6*(1-SmoothFactor)+'Dec Recovery'!B6*SmoothFactor</f>
        <v>0</v>
      </c>
      <c r="E6">
        <v>1</v>
      </c>
      <c r="F6">
        <f>'Dec Recovery'!D6*'Dec Recovery'!E6</f>
        <v>0</v>
      </c>
    </row>
    <row r="7">
      <c r="A7" t="str">
        <v>65-74</v>
      </c>
      <c r="B7">
        <v>0.15</v>
      </c>
      <c r="C7">
        <f>'Dec Recovery'!B6*0.15+'Dec Recovery'!B7*0.7+'Dec Recovery'!B8*0.15</f>
        <v>0</v>
      </c>
      <c r="D7">
        <f>'Dec Recovery'!C7*(1-SmoothFactor)+'Dec Recovery'!B7*SmoothFactor</f>
        <v>0</v>
      </c>
      <c r="E7">
        <v>1</v>
      </c>
      <c r="F7">
        <f>'Dec Recovery'!D7*'Dec Recovery'!E7</f>
        <v>0</v>
      </c>
    </row>
    <row r="8">
      <c r="A8" t="str">
        <v>75-84</v>
      </c>
      <c r="B8">
        <v>0.12</v>
      </c>
      <c r="C8">
        <f>'Dec Recovery'!B7*0.15+'Dec Recovery'!B8*0.7+'Dec Recovery'!B9*0.15</f>
        <v>0</v>
      </c>
      <c r="D8">
        <f>'Dec Recovery'!C8*(1-SmoothFactor)+'Dec Recovery'!B8*SmoothFactor</f>
        <v>0</v>
      </c>
      <c r="E8">
        <v>1</v>
      </c>
      <c r="F8">
        <f>'Dec Recovery'!D8*'Dec Recovery'!E8</f>
        <v>0</v>
      </c>
    </row>
    <row r="9">
      <c r="A9" t="str">
        <v>85+</v>
      </c>
      <c r="B9">
        <v>0.09</v>
      </c>
      <c r="C9">
        <f>'Dec Recovery'!B8*0.3+'Dec Recovery'!B9*0.7</f>
        <v>0</v>
      </c>
      <c r="D9">
        <f>'Dec Recovery'!C9*(1-SmoothFactor)+'Dec Recovery'!B9*SmoothFactor</f>
        <v>0</v>
      </c>
      <c r="E9">
        <v>1</v>
      </c>
      <c r="F9">
        <f>'Dec Recovery'!D9*'Dec Recovery'!E9</f>
        <v>0</v>
      </c>
    </row>
  </sheetData>
  <ignoredErrors>
    <ignoredError numberStoredAsText="1" sqref="A1:F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Age Band</v>
      </c>
      <c r="B1" t="str">
        <v>Raw Rate</v>
      </c>
      <c r="C1" t="str">
        <v>Smoothed</v>
      </c>
      <c r="D1" t="str">
        <v>Graduated</v>
      </c>
      <c r="E1" t="str">
        <v>Select Factor</v>
      </c>
      <c r="F1" t="str">
        <v>Ultimate Rate</v>
      </c>
    </row>
    <row r="2">
      <c r="A2" t="str">
        <v>18-24</v>
      </c>
      <c r="B2">
        <v>0.01</v>
      </c>
      <c r="C2">
        <f>'Dec Retirement'!B2*0.7+'Dec Retirement'!B3*0.3</f>
        <v>0</v>
      </c>
      <c r="D2">
        <f>'Dec Retirement'!C2*(1-SmoothFactor)+'Dec Retirement'!B2*SmoothFactor</f>
        <v>0</v>
      </c>
      <c r="E2">
        <v>1</v>
      </c>
      <c r="F2">
        <f>'Dec Retirement'!D2*'Dec Retirement'!E2</f>
        <v>0</v>
      </c>
    </row>
    <row r="3">
      <c r="A3" t="str">
        <v>25-34</v>
      </c>
      <c r="B3">
        <v>0.015</v>
      </c>
      <c r="C3">
        <f>'Dec Retirement'!B2*0.15+'Dec Retirement'!B3*0.7+'Dec Retirement'!B4*0.15</f>
        <v>0</v>
      </c>
      <c r="D3">
        <f>'Dec Retirement'!C3*(1-SmoothFactor)+'Dec Retirement'!B3*SmoothFactor</f>
        <v>0</v>
      </c>
      <c r="E3">
        <v>1</v>
      </c>
      <c r="F3">
        <f>'Dec Retirement'!D3*'Dec Retirement'!E3</f>
        <v>0</v>
      </c>
    </row>
    <row r="4">
      <c r="A4" t="str">
        <v>35-44</v>
      </c>
      <c r="B4">
        <v>0.02</v>
      </c>
      <c r="C4">
        <f>'Dec Retirement'!B3*0.15+'Dec Retirement'!B4*0.7+'Dec Retirement'!B5*0.15</f>
        <v>0</v>
      </c>
      <c r="D4">
        <f>'Dec Retirement'!C4*(1-SmoothFactor)+'Dec Retirement'!B4*SmoothFactor</f>
        <v>0</v>
      </c>
      <c r="E4">
        <v>1</v>
      </c>
      <c r="F4">
        <f>'Dec Retirement'!D4*'Dec Retirement'!E4</f>
        <v>0</v>
      </c>
    </row>
    <row r="5">
      <c r="A5" t="str">
        <v>45-54</v>
      </c>
      <c r="B5">
        <v>0.025</v>
      </c>
      <c r="C5">
        <f>'Dec Retirement'!B4*0.15+'Dec Retirement'!B5*0.7+'Dec Retirement'!B6*0.15</f>
        <v>0</v>
      </c>
      <c r="D5">
        <f>'Dec Retirement'!C5*(1-SmoothFactor)+'Dec Retirement'!B5*SmoothFactor</f>
        <v>0</v>
      </c>
      <c r="E5">
        <v>1</v>
      </c>
      <c r="F5">
        <f>'Dec Retirement'!D5*'Dec Retirement'!E5</f>
        <v>0</v>
      </c>
    </row>
    <row r="6">
      <c r="A6" t="str">
        <v>55-64</v>
      </c>
      <c r="B6">
        <v>0.03</v>
      </c>
      <c r="C6">
        <f>'Dec Retirement'!B5*0.15+'Dec Retirement'!B6*0.7+'Dec Retirement'!B7*0.15</f>
        <v>0</v>
      </c>
      <c r="D6">
        <f>'Dec Retirement'!C6*(1-SmoothFactor)+'Dec Retirement'!B6*SmoothFactor</f>
        <v>0</v>
      </c>
      <c r="E6">
        <v>1</v>
      </c>
      <c r="F6">
        <f>'Dec Retirement'!D6*'Dec Retirement'!E6</f>
        <v>0</v>
      </c>
    </row>
    <row r="7">
      <c r="A7" t="str">
        <v>65-74</v>
      </c>
      <c r="B7">
        <v>0.035</v>
      </c>
      <c r="C7">
        <f>'Dec Retirement'!B6*0.15+'Dec Retirement'!B7*0.7+'Dec Retirement'!B8*0.15</f>
        <v>0</v>
      </c>
      <c r="D7">
        <f>'Dec Retirement'!C7*(1-SmoothFactor)+'Dec Retirement'!B7*SmoothFactor</f>
        <v>0</v>
      </c>
      <c r="E7">
        <v>1</v>
      </c>
      <c r="F7">
        <f>'Dec Retirement'!D7*'Dec Retirement'!E7</f>
        <v>0</v>
      </c>
    </row>
    <row r="8">
      <c r="A8" t="str">
        <v>75-84</v>
      </c>
      <c r="B8">
        <v>0.04</v>
      </c>
      <c r="C8">
        <f>'Dec Retirement'!B7*0.15+'Dec Retirement'!B8*0.7+'Dec Retirement'!B9*0.15</f>
        <v>0</v>
      </c>
      <c r="D8">
        <f>'Dec Retirement'!C8*(1-SmoothFactor)+'Dec Retirement'!B8*SmoothFactor</f>
        <v>0</v>
      </c>
      <c r="E8">
        <v>1</v>
      </c>
      <c r="F8">
        <f>'Dec Retirement'!D8*'Dec Retirement'!E8</f>
        <v>0</v>
      </c>
    </row>
    <row r="9">
      <c r="A9" t="str">
        <v>85+</v>
      </c>
      <c r="B9">
        <v>0.045</v>
      </c>
      <c r="C9">
        <f>'Dec Retirement'!B8*0.3+'Dec Retirement'!B9*0.7</f>
        <v>0</v>
      </c>
      <c r="D9">
        <f>'Dec Retirement'!C9*(1-SmoothFactor)+'Dec Retirement'!B9*SmoothFactor</f>
        <v>0</v>
      </c>
      <c r="E9">
        <v>1</v>
      </c>
      <c r="F9">
        <f>'Dec Retirement'!D9*'Dec Retirement'!E9</f>
        <v>0</v>
      </c>
    </row>
  </sheetData>
  <ignoredErrors>
    <ignoredError numberStoredAsText="1" sqref="A1:F9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Product</v>
      </c>
      <c r="B1" t="str">
        <v>Total Exposed</v>
      </c>
      <c r="C1" t="str">
        <v>Total Claims</v>
      </c>
      <c r="D1" t="str">
        <v>Overall A/E</v>
      </c>
      <c r="E1" t="str">
        <v>Credibility</v>
      </c>
      <c r="F1" t="str">
        <v>Recommendation</v>
      </c>
    </row>
    <row r="2">
      <c r="A2" t="str">
        <v>Term Life</v>
      </c>
      <c r="B2">
        <f>SUM('Exp Term Life'!H2:H9)</f>
        <v>0</v>
      </c>
      <c r="C2">
        <f>SUM('Exp Term Life'!I2:I9)</f>
        <v>0</v>
      </c>
      <c r="D2">
        <f>AVERAGE('AE Term Life'!D2:D9)</f>
        <v>0</v>
      </c>
      <c r="E2">
        <f>MIN(SQRT('Study Summary'!C2/FullCredClaims),1)</f>
        <v>0</v>
      </c>
      <c r="F2">
        <f>IF('Study Summary'!D2&gt;1.1,"Increase",IF('Study Summary'!D2&lt;0.9,"Decrease","Maintain"))</f>
        <v>0</v>
      </c>
    </row>
    <row r="3">
      <c r="A3" t="str">
        <v>Whole Life</v>
      </c>
      <c r="B3">
        <f>SUM('Exp Whole Life'!H2:H9)</f>
        <v>0</v>
      </c>
      <c r="C3">
        <f>SUM('Exp Whole Life'!I2:I9)</f>
        <v>0</v>
      </c>
      <c r="D3">
        <f>AVERAGE('AE Whole Life'!D2:D9)</f>
        <v>0</v>
      </c>
      <c r="E3">
        <f>MIN(SQRT('Study Summary'!C3/FullCredClaims),1)</f>
        <v>0</v>
      </c>
      <c r="F3">
        <f>IF('Study Summary'!D3&gt;1.1,"Increase",IF('Study Summary'!D3&lt;0.9,"Decrease","Maintain"))</f>
        <v>0</v>
      </c>
    </row>
    <row r="4">
      <c r="A4" t="str">
        <v>Universal Life</v>
      </c>
      <c r="B4">
        <f>SUM('Exp Universal Life'!H2:H9)</f>
        <v>0</v>
      </c>
      <c r="C4">
        <f>SUM('Exp Universal Life'!I2:I9)</f>
        <v>0</v>
      </c>
      <c r="D4">
        <f>AVERAGE('AE Universal Life'!D2:D9)</f>
        <v>0</v>
      </c>
      <c r="E4">
        <f>MIN(SQRT('Study Summary'!C4/FullCredClaims),1)</f>
        <v>0</v>
      </c>
      <c r="F4">
        <f>IF('Study Summary'!D4&gt;1.1,"Increase",IF('Study Summary'!D4&lt;0.9,"Decrease","Maintain"))</f>
        <v>0</v>
      </c>
    </row>
    <row r="5">
      <c r="A5" t="str">
        <v>Variable Life</v>
      </c>
      <c r="B5">
        <f>SUM('Exp Variable Life'!H2:H9)</f>
        <v>0</v>
      </c>
      <c r="C5">
        <f>SUM('Exp Variable Life'!I2:I9)</f>
        <v>0</v>
      </c>
      <c r="D5">
        <f>AVERAGE('AE Variable Life'!D2:D9)</f>
        <v>0</v>
      </c>
      <c r="E5">
        <f>MIN(SQRT('Study Summary'!C5/FullCredClaims),1)</f>
        <v>0</v>
      </c>
      <c r="F5">
        <f>IF('Study Summary'!D5&gt;1.1,"Increase",IF('Study Summary'!D5&lt;0.9,"Decrease","Maintain"))</f>
        <v>0</v>
      </c>
    </row>
    <row r="6">
      <c r="A6" t="str">
        <v>Group Life</v>
      </c>
      <c r="B6">
        <f>SUM('Exp Group Life'!H2:H9)</f>
        <v>0</v>
      </c>
      <c r="C6">
        <f>SUM('Exp Group Life'!I2:I9)</f>
        <v>0</v>
      </c>
      <c r="D6">
        <f>AVERAGE('AE Group Life'!D2:D9)</f>
        <v>0</v>
      </c>
      <c r="E6">
        <f>MIN(SQRT('Study Summary'!C6/FullCredClaims),1)</f>
        <v>0</v>
      </c>
      <c r="F6">
        <f>IF('Study Summary'!D6&gt;1.1,"Increase",IF('Study Summary'!D6&lt;0.9,"Decrease","Maintain"))</f>
        <v>0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Study Parameters</vt:lpstr>
      <vt:lpstr>Standard Table</vt:lpstr>
      <vt:lpstr>Exp Term Life</vt:lpstr>
      <vt:lpstr>Exp Whole Life</vt:lpstr>
      <vt:lpstr>Exp Universal Life</vt:lpstr>
      <vt:lpstr>Exp Variable Life</vt:lpstr>
      <vt:lpstr>Exp Group Life</vt:lpstr>
      <vt:lpstr>AE Term Life</vt:lpstr>
      <vt:lpstr>AE Whole Life</vt:lpstr>
      <vt:lpstr>AE Universal Life</vt:lpstr>
      <vt:lpstr>AE Variable Life</vt:lpstr>
      <vt:lpstr>AE Group Life</vt:lpstr>
      <vt:lpstr>Dec Mortality</vt:lpstr>
      <vt:lpstr>Dec Lapse</vt:lpstr>
      <vt:lpstr>Dec Disability</vt:lpstr>
      <vt:lpstr>Dec Recovery</vt:lpstr>
      <vt:lpstr>Dec Retirement</vt:lpstr>
      <vt:lpstr>Study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
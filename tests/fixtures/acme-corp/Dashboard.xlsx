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KPI</v>
      </c>
      <c r="B1">
        <v>2024</v>
      </c>
      <c r="C1">
        <v>2025</v>
      </c>
      <c r="D1">
        <v>2026</v>
      </c>
      <c r="E1">
        <v>2027</v>
      </c>
      <c r="F1">
        <v>2028</v>
      </c>
      <c r="G1" t="str">
        <v>5Y CAGR</v>
      </c>
    </row>
    <row r="2">
      <c r="A2" t="str">
        <v>Revenue</v>
      </c>
      <c r="B2">
        <f>IFERROR('[Revenue-Model.xlsx]Revenue'!B7,0)</f>
        <v>0</v>
      </c>
      <c r="C2">
        <f>IFERROR('[Revenue-Model.xlsx]Revenue'!C7,0)</f>
        <v>0</v>
      </c>
      <c r="D2">
        <f>IFERROR('[Revenue-Model.xlsx]Revenue'!D7,0)</f>
        <v>0</v>
      </c>
      <c r="E2">
        <f>IFERROR('[Revenue-Model.xlsx]Revenue'!E7,0)</f>
        <v>0</v>
      </c>
      <c r="F2">
        <f>IFERROR('[Revenue-Model.xlsx]Revenue'!F7,0)</f>
        <v>0</v>
      </c>
      <c r="G2">
        <f>IFERROR((F2/B2)^(1/4)-1,0)</f>
        <v>0</v>
      </c>
    </row>
    <row r="3">
      <c r="A3" t="str">
        <v>Revenue Growth</v>
      </c>
      <c r="C3">
        <f>IFERROR(C2/B2-1,0)</f>
        <v>0</v>
      </c>
      <c r="D3">
        <f>IFERROR(D2/C2-1,0)</f>
        <v>0</v>
      </c>
      <c r="E3">
        <f>IFERROR(E2/D2-1,0)</f>
        <v>0</v>
      </c>
      <c r="F3">
        <f>IFERROR(F2/E2-1,0)</f>
        <v>0</v>
      </c>
    </row>
    <row r="4">
      <c r="A4" t="str">
        <v>Gross Profit</v>
      </c>
      <c r="B4">
        <f>IFERROR('[Financials.xlsx]P&amp;L'!B4,0)</f>
        <v>0</v>
      </c>
      <c r="C4">
        <f>IFERROR('[Financials.xlsx]P&amp;L'!C4,0)</f>
        <v>0</v>
      </c>
      <c r="D4">
        <f>IFERROR('[Financials.xlsx]P&amp;L'!D4,0)</f>
        <v>0</v>
      </c>
      <c r="E4">
        <f>IFERROR('[Financials.xlsx]P&amp;L'!E4,0)</f>
        <v>0</v>
      </c>
      <c r="F4">
        <f>IFERROR('[Financials.xlsx]P&amp;L'!F4,0)</f>
        <v>0</v>
      </c>
      <c r="G4">
        <f>IFERROR((F4/B4)^(1/4)-1,0)</f>
        <v>0</v>
      </c>
    </row>
    <row r="5">
      <c r="A5" t="str">
        <v>Gross Margin %</v>
      </c>
      <c r="B5">
        <f>IFERROR('[Financials.xlsx]P&amp;L'!B5,0)</f>
        <v>0</v>
      </c>
      <c r="C5">
        <f>IFERROR('[Financials.xlsx]P&amp;L'!C5,0)</f>
        <v>0</v>
      </c>
      <c r="D5">
        <f>IFERROR('[Financials.xlsx]P&amp;L'!D5,0)</f>
        <v>0</v>
      </c>
      <c r="E5">
        <f>IFERROR('[Financials.xlsx]P&amp;L'!E5,0)</f>
        <v>0</v>
      </c>
      <c r="F5">
        <f>IFERROR('[Financials.xlsx]P&amp;L'!F5,0)</f>
        <v>0</v>
      </c>
    </row>
    <row r="6">
      <c r="A6" t="str">
        <v>EBITDA</v>
      </c>
      <c r="B6">
        <f>IFERROR('[Financials.xlsx]P&amp;L'!B7,0)</f>
        <v>0</v>
      </c>
      <c r="C6">
        <f>IFERROR('[Financials.xlsx]P&amp;L'!C7,0)</f>
        <v>0</v>
      </c>
      <c r="D6">
        <f>IFERROR('[Financials.xlsx]P&amp;L'!D7,0)</f>
        <v>0</v>
      </c>
      <c r="E6">
        <f>IFERROR('[Financials.xlsx]P&amp;L'!E7,0)</f>
        <v>0</v>
      </c>
      <c r="F6">
        <f>IFERROR('[Financials.xlsx]P&amp;L'!F7,0)</f>
        <v>0</v>
      </c>
      <c r="G6">
        <f>IFERROR((F6/B6)^(1/4)-1,0)</f>
        <v>0</v>
      </c>
    </row>
    <row r="7">
      <c r="A7" t="str">
        <v>EBITDA Margin %</v>
      </c>
      <c r="B7">
        <f>IFERROR('[Financials.xlsx]P&amp;L'!B7/'[Financials.xlsx]P&amp;L'!B2,0)</f>
        <v>0</v>
      </c>
      <c r="C7">
        <f>IFERROR('[Financials.xlsx]P&amp;L'!C7/'[Financials.xlsx]P&amp;L'!C2,0)</f>
        <v>0</v>
      </c>
      <c r="D7">
        <f>IFERROR('[Financials.xlsx]P&amp;L'!D7/'[Financials.xlsx]P&amp;L'!D2,0)</f>
        <v>0</v>
      </c>
      <c r="E7">
        <f>IFERROR('[Financials.xlsx]P&amp;L'!E7/'[Financials.xlsx]P&amp;L'!E2,0)</f>
        <v>0</v>
      </c>
      <c r="F7">
        <f>IFERROR('[Financials.xlsx]P&amp;L'!F7/'[Financials.xlsx]P&amp;L'!F2,0)</f>
        <v>0</v>
      </c>
    </row>
    <row r="8">
      <c r="A8" t="str">
        <v>Net Income</v>
      </c>
      <c r="B8">
        <f>IFERROR('[Financials.xlsx]P&amp;L'!B13,0)</f>
        <v>0</v>
      </c>
      <c r="C8">
        <f>IFERROR('[Financials.xlsx]P&amp;L'!C13,0)</f>
        <v>0</v>
      </c>
      <c r="D8">
        <f>IFERROR('[Financials.xlsx]P&amp;L'!D13,0)</f>
        <v>0</v>
      </c>
      <c r="E8">
        <f>IFERROR('[Financials.xlsx]P&amp;L'!E13,0)</f>
        <v>0</v>
      </c>
      <c r="F8">
        <f>IFERROR('[Financials.xlsx]P&amp;L'!F13,0)</f>
        <v>0</v>
      </c>
      <c r="G8">
        <f>IFERROR((F8/B8)^(1/4)-1,0)</f>
        <v>0</v>
      </c>
    </row>
    <row r="9">
      <c r="A9" t="str">
        <v>Net Margin %</v>
      </c>
      <c r="B9">
        <f>IFERROR('[Financials.xlsx]P&amp;L'!B14,0)</f>
        <v>0</v>
      </c>
      <c r="C9">
        <f>IFERROR('[Financials.xlsx]P&amp;L'!C14,0)</f>
        <v>0</v>
      </c>
      <c r="D9">
        <f>IFERROR('[Financials.xlsx]P&amp;L'!D14,0)</f>
        <v>0</v>
      </c>
      <c r="E9">
        <f>IFERROR('[Financials.xlsx]P&amp;L'!E14,0)</f>
        <v>0</v>
      </c>
      <c r="F9">
        <f>IFERROR('[Financials.xlsx]P&amp;L'!F14,0)</f>
        <v>0</v>
      </c>
    </row>
    <row r="10">
      <c r="A10" t="str">
        <v>Free Cash Flow</v>
      </c>
      <c r="B10">
        <f>IFERROR('[Financials.xlsx]CashFlow'!B7+'[Financials.xlsx]CashFlow'!B11,0)</f>
        <v>0</v>
      </c>
      <c r="C10">
        <f>IFERROR('[Financials.xlsx]CashFlow'!C7+'[Financials.xlsx]CashFlow'!C11,0)</f>
        <v>0</v>
      </c>
      <c r="D10">
        <f>IFERROR('[Financials.xlsx]CashFlow'!D7+'[Financials.xlsx]CashFlow'!D11,0)</f>
        <v>0</v>
      </c>
      <c r="E10">
        <f>IFERROR('[Financials.xlsx]CashFlow'!E7+'[Financials.xlsx]CashFlow'!E11,0)</f>
        <v>0</v>
      </c>
      <c r="F10">
        <f>IFERROR('[Financials.xlsx]CashFlow'!F7+'[Financials.xlsx]CashFlow'!F11,0)</f>
        <v>0</v>
      </c>
    </row>
    <row r="11">
      <c r="A11" t="str">
        <v>Cash Balance</v>
      </c>
      <c r="B11">
        <f>IFERROR('[Financials.xlsx]BalanceSheet'!B3,0)</f>
        <v>0</v>
      </c>
      <c r="C11">
        <f>IFERROR('[Financials.xlsx]BalanceSheet'!C3,0)</f>
        <v>0</v>
      </c>
      <c r="D11">
        <f>IFERROR('[Financials.xlsx]BalanceSheet'!D3,0)</f>
        <v>0</v>
      </c>
      <c r="E11">
        <f>IFERROR('[Financials.xlsx]BalanceSheet'!E3,0)</f>
        <v>0</v>
      </c>
      <c r="F11">
        <f>IFERROR('[Financials.xlsx]BalanceSheet'!F3,0)</f>
        <v>0</v>
      </c>
    </row>
    <row r="13">
      <c r="A13" t="str">
        <v>PEOPLE</v>
      </c>
    </row>
    <row r="14">
      <c r="A14" t="str">
        <v>Total Headcount</v>
      </c>
      <c r="B14">
        <f>IFERROR('[People.xlsx]Summary'!B7,0)</f>
        <v>0</v>
      </c>
      <c r="C14">
        <f>IFERROR('[People.xlsx]Summary'!C7,0)</f>
        <v>0</v>
      </c>
      <c r="D14">
        <f>IFERROR('[People.xlsx]Summary'!D7,0)</f>
        <v>0</v>
      </c>
      <c r="E14">
        <f>IFERROR('[People.xlsx]Summary'!E7,0)</f>
        <v>0</v>
      </c>
      <c r="F14">
        <f>IFERROR('[People.xlsx]Summary'!F7,0)</f>
        <v>0</v>
      </c>
    </row>
    <row r="15">
      <c r="A15" t="str">
        <v>Revenue/Employee</v>
      </c>
      <c r="B15">
        <f>IFERROR('[Revenue-Model.xlsx]Revenue'!B7/'[People.xlsx]Summary'!B7,0)</f>
        <v>0</v>
      </c>
      <c r="C15">
        <f>IFERROR('[Revenue-Model.xlsx]Revenue'!C7/'[People.xlsx]Summary'!C7,0)</f>
        <v>0</v>
      </c>
      <c r="D15">
        <f>IFERROR('[Revenue-Model.xlsx]Revenue'!D7/'[People.xlsx]Summary'!D7,0)</f>
        <v>0</v>
      </c>
      <c r="E15">
        <f>IFERROR('[Revenue-Model.xlsx]Revenue'!E7/'[People.xlsx]Summary'!E7,0)</f>
        <v>0</v>
      </c>
      <c r="F15">
        <f>IFERROR('[Revenue-Model.xlsx]Revenue'!F7/'[People.xlsx]Summary'!F7,0)</f>
        <v>0</v>
      </c>
    </row>
    <row r="16">
      <c r="A16" t="str">
        <v>Total People Cost</v>
      </c>
      <c r="B16">
        <f>IFERROR('[People.xlsx]Summary'!B3,0)</f>
        <v>0</v>
      </c>
      <c r="C16">
        <f>IFERROR('[People.xlsx]Summary'!C3,0)</f>
        <v>0</v>
      </c>
      <c r="D16">
        <f>IFERROR('[People.xlsx]Summary'!D3,0)</f>
        <v>0</v>
      </c>
      <c r="E16">
        <f>IFERROR('[People.xlsx]Summary'!E3,0)</f>
        <v>0</v>
      </c>
      <c r="F16">
        <f>IFERROR('[People.xlsx]Summary'!F3,0)</f>
        <v>0</v>
      </c>
    </row>
    <row r="17">
      <c r="A17" t="str">
        <v>People Cost % Rev</v>
      </c>
      <c r="B17">
        <f>IFERROR(B16/B2,0)</f>
        <v>0</v>
      </c>
      <c r="C17">
        <f>IFERROR(C16/C2,0)</f>
        <v>0</v>
      </c>
      <c r="D17">
        <f>IFERROR(D16/D2,0)</f>
        <v>0</v>
      </c>
      <c r="E17">
        <f>IFERROR(E16/E2,0)</f>
        <v>0</v>
      </c>
      <c r="F17">
        <f>IFERROR(F16/F2,0)</f>
        <v>0</v>
      </c>
    </row>
    <row r="19">
      <c r="A19" t="str">
        <v>COSTS</v>
      </c>
    </row>
    <row r="20">
      <c r="A20" t="str">
        <v>COGS</v>
      </c>
      <c r="B20">
        <f>IFERROR('[Cost-Model.xlsx]COGS'!B6,0)</f>
        <v>0</v>
      </c>
      <c r="C20">
        <f>IFERROR('[Cost-Model.xlsx]COGS'!C6,0)</f>
        <v>0</v>
      </c>
      <c r="D20">
        <f>IFERROR('[Cost-Model.xlsx]COGS'!D6,0)</f>
        <v>0</v>
      </c>
      <c r="E20">
        <f>IFERROR('[Cost-Model.xlsx]COGS'!E6,0)</f>
        <v>0</v>
      </c>
      <c r="F20">
        <f>IFERROR('[Cost-Model.xlsx]COGS'!F6,0)</f>
        <v>0</v>
      </c>
    </row>
    <row r="21">
      <c r="A21" t="str">
        <v>COGS % Revenue</v>
      </c>
      <c r="B21">
        <f>IFERROR(B20/B2,0)</f>
        <v>0</v>
      </c>
      <c r="C21">
        <f>IFERROR(C20/C2,0)</f>
        <v>0</v>
      </c>
      <c r="D21">
        <f>IFERROR(D20/D2,0)</f>
        <v>0</v>
      </c>
      <c r="E21">
        <f>IFERROR(E20/E2,0)</f>
        <v>0</v>
      </c>
      <c r="F21">
        <f>IFERROR(F20/F2,0)</f>
        <v>0</v>
      </c>
    </row>
    <row r="22">
      <c r="A22" t="str">
        <v>Total OpEx</v>
      </c>
      <c r="B22">
        <f>IFERROR('[Cost-Model.xlsx]OpEx'!B13,0)</f>
        <v>0</v>
      </c>
      <c r="C22">
        <f>IFERROR('[Cost-Model.xlsx]OpEx'!C13,0)</f>
        <v>0</v>
      </c>
      <c r="D22">
        <f>IFERROR('[Cost-Model.xlsx]OpEx'!D13,0)</f>
        <v>0</v>
      </c>
      <c r="E22">
        <f>IFERROR('[Cost-Model.xlsx]OpEx'!E13,0)</f>
        <v>0</v>
      </c>
      <c r="F22">
        <f>IFERROR('[Cost-Model.xlsx]OpEx'!F13,0)</f>
        <v>0</v>
      </c>
    </row>
    <row r="23">
      <c r="A23" t="str">
        <v>OpEx % Revenue</v>
      </c>
      <c r="B23">
        <f>IFERROR(B22/B2,0)</f>
        <v>0</v>
      </c>
      <c r="C23">
        <f>IFERROR(C22/C2,0)</f>
        <v>0</v>
      </c>
      <c r="D23">
        <f>IFERROR(D22/D2,0)</f>
        <v>0</v>
      </c>
      <c r="E23">
        <f>IFERROR(E22/E2,0)</f>
        <v>0</v>
      </c>
      <c r="F23">
        <f>IFERROR(F22/F2,0)</f>
        <v>0</v>
      </c>
    </row>
    <row r="25">
      <c r="A25" t="str">
        <v>VALUATION</v>
      </c>
    </row>
    <row r="26">
      <c r="A26" t="str">
        <v>Enterprise Value</v>
      </c>
      <c r="B26">
        <f>IFERROR('[Valuation.xlsx]DCF'!B11,0)</f>
        <v>0</v>
      </c>
    </row>
    <row r="27">
      <c r="A27" t="str">
        <v>Equity Value</v>
      </c>
      <c r="B27">
        <f>IFERROR('[Valuation.xlsx]DCF'!B14,0)</f>
        <v>0</v>
      </c>
    </row>
    <row r="28">
      <c r="A28" t="str">
        <v>EV/Revenue</v>
      </c>
      <c r="B28">
        <f>IFERROR(B26/B2,0)</f>
        <v>0</v>
      </c>
    </row>
    <row r="29">
      <c r="A29" t="str">
        <v>EV/EBITDA</v>
      </c>
      <c r="B29">
        <f>IFERROR(B26/B6,0)</f>
        <v>0</v>
      </c>
    </row>
    <row r="31">
      <c r="A31" t="str">
        <v>KEY ASSUMPTIONS</v>
      </c>
    </row>
    <row r="32">
      <c r="A32" t="str">
        <v>Growth Rate</v>
      </c>
      <c r="B32">
        <f>IFERROR('[Assumptions.xlsx]Global'!B4,0)</f>
        <v>0</v>
      </c>
    </row>
    <row r="33">
      <c r="A33" t="str">
        <v>Tax Rate</v>
      </c>
      <c r="B33">
        <f>IFERROR('[Assumptions.xlsx]Global'!B3,0)</f>
        <v>0</v>
      </c>
    </row>
    <row r="34">
      <c r="A34" t="str">
        <v>Discount Rate</v>
      </c>
      <c r="B34">
        <f>IFERROR('[Assumptions.xlsx]Global'!B6,0)</f>
        <v>0</v>
      </c>
    </row>
    <row r="35">
      <c r="A35" t="str">
        <v>Terminal Growth</v>
      </c>
      <c r="B35">
        <f>IFERROR('[Assumptions.xlsx]Global'!B7,0)</f>
        <v>0</v>
      </c>
    </row>
    <row r="37">
      <c r="A37" t="str">
        <v>Quick NI Check</v>
      </c>
      <c r="B37">
        <f>LET(rev,'[Revenue-Model.xlsx]Revenue'!B7,cogs,'[Cost-Model.xlsx]COGS'!B6,opex,'[Cost-Model.xlsx]OpEx'!B13,tax,'[Assumptions.xlsx]Global'!B3,ebt,rev-cogs-opex,ni,ebt*(1-tax),ni)</f>
        <v>0</v>
      </c>
    </row>
    <row r="38">
      <c r="A38" t="str">
        <v>Alt COGS (numeric link)</v>
      </c>
      <c r="B38">
        <f>IFERROR('[2]COGS'!B6,0)</f>
        <v>0</v>
      </c>
    </row>
    <row r="39">
      <c r="A39" t="str">
        <v>Dynamic KPI</v>
      </c>
      <c r="B39">
        <f>IFERROR(INDIRECT("B"&amp;2),0)</f>
        <v>0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
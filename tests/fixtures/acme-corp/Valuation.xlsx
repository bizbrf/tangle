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F" sheetId="1" r:id="rId1"/>
    <sheet name="Sensitivity" sheetId="2" r:id="rId2"/>
    <sheet name="Comparab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 Item</v>
      </c>
      <c r="B1">
        <v>2024</v>
      </c>
      <c r="C1">
        <v>2025</v>
      </c>
      <c r="D1">
        <v>2026</v>
      </c>
      <c r="E1">
        <v>2027</v>
      </c>
      <c r="F1">
        <v>2028</v>
      </c>
      <c r="G1" t="str">
        <v>Terminal</v>
      </c>
    </row>
    <row r="2">
      <c r="A2" t="str">
        <v>Free Cash Flow</v>
      </c>
      <c r="B2">
        <f>IFERROR('[Financials.xlsx]CashFlow'!B7+'[Financials.xlsx]CashFlow'!B11,0)</f>
        <v>0</v>
      </c>
      <c r="C2">
        <f>IFERROR('[Financials.xlsx]CashFlow'!C7+'[Financials.xlsx]CashFlow'!C11,0)</f>
        <v>0</v>
      </c>
      <c r="D2">
        <f>IFERROR('[Financials.xlsx]CashFlow'!D7+'[Financials.xlsx]CashFlow'!D11,0)</f>
        <v>0</v>
      </c>
      <c r="E2">
        <f>IFERROR('[Financials.xlsx]CashFlow'!E7+'[Financials.xlsx]CashFlow'!E11,0)</f>
        <v>0</v>
      </c>
      <c r="F2">
        <f>IFERROR('[Financials.xlsx]CashFlow'!F7+'[Financials.xlsx]CashFlow'!F11,0)</f>
        <v>0</v>
      </c>
    </row>
    <row r="3">
      <c r="A3" t="str">
        <v>Discount Factor</v>
      </c>
      <c r="B3">
        <f>IFERROR(1/(1+'[Assumptions.xlsx]Global'!$B$6)^1,0)</f>
        <v>0</v>
      </c>
      <c r="C3">
        <f>IFERROR(1/(1+'[Assumptions.xlsx]Global'!$B$6)^2,0)</f>
        <v>0</v>
      </c>
      <c r="D3">
        <f>IFERROR(1/(1+'[Assumptions.xlsx]Global'!$B$6)^3,0)</f>
        <v>0</v>
      </c>
      <c r="E3">
        <f>IFERROR(1/(1+'[Assumptions.xlsx]Global'!$B$6)^4,0)</f>
        <v>0</v>
      </c>
      <c r="F3">
        <f>IFERROR(1/(1+'[Assumptions.xlsx]Global'!$B$6)^5,0)</f>
        <v>0</v>
      </c>
    </row>
    <row r="4">
      <c r="A4" t="str">
        <v>PV of FCF</v>
      </c>
      <c r="B4">
        <f>B2*B3</f>
        <v>0</v>
      </c>
      <c r="C4">
        <f>C2*C3</f>
        <v>0</v>
      </c>
      <c r="D4">
        <f>D2*D3</f>
        <v>0</v>
      </c>
      <c r="E4">
        <f>E2*E3</f>
        <v>0</v>
      </c>
      <c r="F4">
        <f>F2*F3</f>
        <v>0</v>
      </c>
    </row>
    <row r="6">
      <c r="A6" t="str">
        <v>Terminal Value</v>
      </c>
      <c r="G6">
        <f>IFERROR(F2*(1+'[Assumptions.xlsx]Global'!$B$7)/('[Assumptions.xlsx]Global'!$B$6-'[Assumptions.xlsx]Global'!$B$7),0)</f>
        <v>0</v>
      </c>
    </row>
    <row r="7">
      <c r="A7" t="str">
        <v>PV of Terminal</v>
      </c>
      <c r="G7">
        <f>G6*F3</f>
        <v>0</v>
      </c>
    </row>
    <row r="9">
      <c r="A9" t="str">
        <v>Sum of PV(FCF)</v>
      </c>
      <c r="B9">
        <f>SUM(B4:F4)</f>
        <v>0</v>
      </c>
    </row>
    <row r="10">
      <c r="A10" t="str">
        <v>PV of Terminal</v>
      </c>
      <c r="B10">
        <f>G7</f>
        <v>0</v>
      </c>
    </row>
    <row r="11">
      <c r="A11" t="str">
        <v>Enterprise Value</v>
      </c>
      <c r="B11">
        <f>B9+B10</f>
        <v>0</v>
      </c>
    </row>
    <row r="12">
      <c r="A12" t="str">
        <v>Less: Debt</v>
      </c>
      <c r="B12">
        <f>IFERROR(-'[Financials.xlsx]BalanceSheet'!B11,0)</f>
        <v>0</v>
      </c>
    </row>
    <row r="13">
      <c r="A13" t="str">
        <v>Plus: Cash</v>
      </c>
      <c r="B13">
        <f>IFERROR('[Financials.xlsx]BalanceSheet'!B3,0)</f>
        <v>0</v>
      </c>
    </row>
    <row r="14">
      <c r="A14" t="str">
        <v>Equity Value</v>
      </c>
      <c r="B14">
        <f>B11+B12+B13</f>
        <v>0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WACC \ TG</v>
      </c>
      <c r="B1">
        <v>0.01</v>
      </c>
      <c r="C1">
        <v>0.015</v>
      </c>
      <c r="D1">
        <v>0.02</v>
      </c>
      <c r="E1">
        <v>0.025</v>
      </c>
      <c r="F1">
        <v>0.03</v>
      </c>
      <c r="G1">
        <v>0.035</v>
      </c>
      <c r="H1">
        <v>0.04</v>
      </c>
    </row>
    <row r="2">
      <c r="A2">
        <v>0.08</v>
      </c>
      <c r="B2">
        <f>LET(wacc,$A2,tg,B$1,fcf,DCF!F2,tv,fcf*(1+tg)/(wacc-tg),pvTV,tv/(1+wacc)^5,pvFCF,DCF!B9,debt,DCF!B12,cash,DCF!B13,pvFCF+pvTV+debt+cash)</f>
        <v>0</v>
      </c>
      <c r="C2">
        <f>LET(wacc,$A2,tg,C$1,fcf,DCF!F2,tv,fcf*(1+tg)/(wacc-tg),pvTV,tv/(1+wacc)^5,pvFCF,DCF!B9,debt,DCF!B12,cash,DCF!B13,pvFCF+pvTV+debt+cash)</f>
        <v>0</v>
      </c>
      <c r="D2">
        <f>LET(wacc,$A2,tg,D$1,fcf,DCF!F2,tv,fcf*(1+tg)/(wacc-tg),pvTV,tv/(1+wacc)^5,pvFCF,DCF!B9,debt,DCF!B12,cash,DCF!B13,pvFCF+pvTV+debt+cash)</f>
        <v>0</v>
      </c>
      <c r="E2">
        <f>LET(wacc,$A2,tg,E$1,fcf,DCF!F2,tv,fcf*(1+tg)/(wacc-tg),pvTV,tv/(1+wacc)^5,pvFCF,DCF!B9,debt,DCF!B12,cash,DCF!B13,pvFCF+pvTV+debt+cash)</f>
        <v>0</v>
      </c>
      <c r="F2">
        <f>LET(wacc,$A2,tg,F$1,fcf,DCF!F2,tv,fcf*(1+tg)/(wacc-tg),pvTV,tv/(1+wacc)^5,pvFCF,DCF!B9,debt,DCF!B12,cash,DCF!B13,pvFCF+pvTV+debt+cash)</f>
        <v>0</v>
      </c>
      <c r="G2">
        <f>LET(wacc,$A2,tg,G$1,fcf,DCF!F2,tv,fcf*(1+tg)/(wacc-tg),pvTV,tv/(1+wacc)^5,pvFCF,DCF!B9,debt,DCF!B12,cash,DCF!B13,pvFCF+pvTV+debt+cash)</f>
        <v>0</v>
      </c>
      <c r="H2">
        <f>LET(wacc,$A2,tg,H$1,fcf,DCF!F2,tv,fcf*(1+tg)/(wacc-tg),pvTV,tv/(1+wacc)^5,pvFCF,DCF!B9,debt,DCF!B12,cash,DCF!B13,pvFCF+pvTV+debt+cash)</f>
        <v>0</v>
      </c>
    </row>
    <row r="3">
      <c r="A3">
        <v>0.09</v>
      </c>
      <c r="B3">
        <f>LET(wacc,$A3,tg,B$1,fcf,DCF!F2,tv,fcf*(1+tg)/(wacc-tg),pvTV,tv/(1+wacc)^5,pvFCF,DCF!B9,debt,DCF!B12,cash,DCF!B13,pvFCF+pvTV+debt+cash)</f>
        <v>0</v>
      </c>
      <c r="C3">
        <f>LET(wacc,$A3,tg,C$1,fcf,DCF!F2,tv,fcf*(1+tg)/(wacc-tg),pvTV,tv/(1+wacc)^5,pvFCF,DCF!B9,debt,DCF!B12,cash,DCF!B13,pvFCF+pvTV+debt+cash)</f>
        <v>0</v>
      </c>
      <c r="D3">
        <f>LET(wacc,$A3,tg,D$1,fcf,DCF!F2,tv,fcf*(1+tg)/(wacc-tg),pvTV,tv/(1+wacc)^5,pvFCF,DCF!B9,debt,DCF!B12,cash,DCF!B13,pvFCF+pvTV+debt+cash)</f>
        <v>0</v>
      </c>
      <c r="E3">
        <f>LET(wacc,$A3,tg,E$1,fcf,DCF!F2,tv,fcf*(1+tg)/(wacc-tg),pvTV,tv/(1+wacc)^5,pvFCF,DCF!B9,debt,DCF!B12,cash,DCF!B13,pvFCF+pvTV+debt+cash)</f>
        <v>0</v>
      </c>
      <c r="F3">
        <f>LET(wacc,$A3,tg,F$1,fcf,DCF!F2,tv,fcf*(1+tg)/(wacc-tg),pvTV,tv/(1+wacc)^5,pvFCF,DCF!B9,debt,DCF!B12,cash,DCF!B13,pvFCF+pvTV+debt+cash)</f>
        <v>0</v>
      </c>
      <c r="G3">
        <f>LET(wacc,$A3,tg,G$1,fcf,DCF!F2,tv,fcf*(1+tg)/(wacc-tg),pvTV,tv/(1+wacc)^5,pvFCF,DCF!B9,debt,DCF!B12,cash,DCF!B13,pvFCF+pvTV+debt+cash)</f>
        <v>0</v>
      </c>
      <c r="H3">
        <f>LET(wacc,$A3,tg,H$1,fcf,DCF!F2,tv,fcf*(1+tg)/(wacc-tg),pvTV,tv/(1+wacc)^5,pvFCF,DCF!B9,debt,DCF!B12,cash,DCF!B13,pvFCF+pvTV+debt+cash)</f>
        <v>0</v>
      </c>
    </row>
    <row r="4">
      <c r="A4">
        <v>0.1</v>
      </c>
      <c r="B4">
        <f>LET(wacc,$A4,tg,B$1,fcf,DCF!F2,tv,fcf*(1+tg)/(wacc-tg),pvTV,tv/(1+wacc)^5,pvFCF,DCF!B9,debt,DCF!B12,cash,DCF!B13,pvFCF+pvTV+debt+cash)</f>
        <v>0</v>
      </c>
      <c r="C4">
        <f>LET(wacc,$A4,tg,C$1,fcf,DCF!F2,tv,fcf*(1+tg)/(wacc-tg),pvTV,tv/(1+wacc)^5,pvFCF,DCF!B9,debt,DCF!B12,cash,DCF!B13,pvFCF+pvTV+debt+cash)</f>
        <v>0</v>
      </c>
      <c r="D4">
        <f>LET(wacc,$A4,tg,D$1,fcf,DCF!F2,tv,fcf*(1+tg)/(wacc-tg),pvTV,tv/(1+wacc)^5,pvFCF,DCF!B9,debt,DCF!B12,cash,DCF!B13,pvFCF+pvTV+debt+cash)</f>
        <v>0</v>
      </c>
      <c r="E4">
        <f>LET(wacc,$A4,tg,E$1,fcf,DCF!F2,tv,fcf*(1+tg)/(wacc-tg),pvTV,tv/(1+wacc)^5,pvFCF,DCF!B9,debt,DCF!B12,cash,DCF!B13,pvFCF+pvTV+debt+cash)</f>
        <v>0</v>
      </c>
      <c r="F4">
        <f>LET(wacc,$A4,tg,F$1,fcf,DCF!F2,tv,fcf*(1+tg)/(wacc-tg),pvTV,tv/(1+wacc)^5,pvFCF,DCF!B9,debt,DCF!B12,cash,DCF!B13,pvFCF+pvTV+debt+cash)</f>
        <v>0</v>
      </c>
      <c r="G4">
        <f>LET(wacc,$A4,tg,G$1,fcf,DCF!F2,tv,fcf*(1+tg)/(wacc-tg),pvTV,tv/(1+wacc)^5,pvFCF,DCF!B9,debt,DCF!B12,cash,DCF!B13,pvFCF+pvTV+debt+cash)</f>
        <v>0</v>
      </c>
      <c r="H4">
        <f>LET(wacc,$A4,tg,H$1,fcf,DCF!F2,tv,fcf*(1+tg)/(wacc-tg),pvTV,tv/(1+wacc)^5,pvFCF,DCF!B9,debt,DCF!B12,cash,DCF!B13,pvFCF+pvTV+debt+cash)</f>
        <v>0</v>
      </c>
    </row>
    <row r="5">
      <c r="A5">
        <v>0.11</v>
      </c>
      <c r="B5">
        <f>LET(wacc,$A5,tg,B$1,fcf,DCF!F2,tv,fcf*(1+tg)/(wacc-tg),pvTV,tv/(1+wacc)^5,pvFCF,DCF!B9,debt,DCF!B12,cash,DCF!B13,pvFCF+pvTV+debt+cash)</f>
        <v>0</v>
      </c>
      <c r="C5">
        <f>LET(wacc,$A5,tg,C$1,fcf,DCF!F2,tv,fcf*(1+tg)/(wacc-tg),pvTV,tv/(1+wacc)^5,pvFCF,DCF!B9,debt,DCF!B12,cash,DCF!B13,pvFCF+pvTV+debt+cash)</f>
        <v>0</v>
      </c>
      <c r="D5">
        <f>LET(wacc,$A5,tg,D$1,fcf,DCF!F2,tv,fcf*(1+tg)/(wacc-tg),pvTV,tv/(1+wacc)^5,pvFCF,DCF!B9,debt,DCF!B12,cash,DCF!B13,pvFCF+pvTV+debt+cash)</f>
        <v>0</v>
      </c>
      <c r="E5">
        <f>LET(wacc,$A5,tg,E$1,fcf,DCF!F2,tv,fcf*(1+tg)/(wacc-tg),pvTV,tv/(1+wacc)^5,pvFCF,DCF!B9,debt,DCF!B12,cash,DCF!B13,pvFCF+pvTV+debt+cash)</f>
        <v>0</v>
      </c>
      <c r="F5">
        <f>LET(wacc,$A5,tg,F$1,fcf,DCF!F2,tv,fcf*(1+tg)/(wacc-tg),pvTV,tv/(1+wacc)^5,pvFCF,DCF!B9,debt,DCF!B12,cash,DCF!B13,pvFCF+pvTV+debt+cash)</f>
        <v>0</v>
      </c>
      <c r="G5">
        <f>LET(wacc,$A5,tg,G$1,fcf,DCF!F2,tv,fcf*(1+tg)/(wacc-tg),pvTV,tv/(1+wacc)^5,pvFCF,DCF!B9,debt,DCF!B12,cash,DCF!B13,pvFCF+pvTV+debt+cash)</f>
        <v>0</v>
      </c>
      <c r="H5">
        <f>LET(wacc,$A5,tg,H$1,fcf,DCF!F2,tv,fcf*(1+tg)/(wacc-tg),pvTV,tv/(1+wacc)^5,pvFCF,DCF!B9,debt,DCF!B12,cash,DCF!B13,pvFCF+pvTV+debt+cash)</f>
        <v>0</v>
      </c>
    </row>
    <row r="6">
      <c r="A6">
        <v>0.12</v>
      </c>
      <c r="B6">
        <f>LET(wacc,$A6,tg,B$1,fcf,DCF!F2,tv,fcf*(1+tg)/(wacc-tg),pvTV,tv/(1+wacc)^5,pvFCF,DCF!B9,debt,DCF!B12,cash,DCF!B13,pvFCF+pvTV+debt+cash)</f>
        <v>0</v>
      </c>
      <c r="C6">
        <f>LET(wacc,$A6,tg,C$1,fcf,DCF!F2,tv,fcf*(1+tg)/(wacc-tg),pvTV,tv/(1+wacc)^5,pvFCF,DCF!B9,debt,DCF!B12,cash,DCF!B13,pvFCF+pvTV+debt+cash)</f>
        <v>0</v>
      </c>
      <c r="D6">
        <f>LET(wacc,$A6,tg,D$1,fcf,DCF!F2,tv,fcf*(1+tg)/(wacc-tg),pvTV,tv/(1+wacc)^5,pvFCF,DCF!B9,debt,DCF!B12,cash,DCF!B13,pvFCF+pvTV+debt+cash)</f>
        <v>0</v>
      </c>
      <c r="E6">
        <f>LET(wacc,$A6,tg,E$1,fcf,DCF!F2,tv,fcf*(1+tg)/(wacc-tg),pvTV,tv/(1+wacc)^5,pvFCF,DCF!B9,debt,DCF!B12,cash,DCF!B13,pvFCF+pvTV+debt+cash)</f>
        <v>0</v>
      </c>
      <c r="F6">
        <f>LET(wacc,$A6,tg,F$1,fcf,DCF!F2,tv,fcf*(1+tg)/(wacc-tg),pvTV,tv/(1+wacc)^5,pvFCF,DCF!B9,debt,DCF!B12,cash,DCF!B13,pvFCF+pvTV+debt+cash)</f>
        <v>0</v>
      </c>
      <c r="G6">
        <f>LET(wacc,$A6,tg,G$1,fcf,DCF!F2,tv,fcf*(1+tg)/(wacc-tg),pvTV,tv/(1+wacc)^5,pvFCF,DCF!B9,debt,DCF!B12,cash,DCF!B13,pvFCF+pvTV+debt+cash)</f>
        <v>0</v>
      </c>
      <c r="H6">
        <f>LET(wacc,$A6,tg,H$1,fcf,DCF!F2,tv,fcf*(1+tg)/(wacc-tg),pvTV,tv/(1+wacc)^5,pvFCF,DCF!B9,debt,DCF!B12,cash,DCF!B13,pvFCF+pvTV+debt+cash)</f>
        <v>0</v>
      </c>
    </row>
    <row r="7">
      <c r="A7">
        <v>0.13</v>
      </c>
      <c r="B7">
        <f>LET(wacc,$A7,tg,B$1,fcf,DCF!F2,tv,fcf*(1+tg)/(wacc-tg),pvTV,tv/(1+wacc)^5,pvFCF,DCF!B9,debt,DCF!B12,cash,DCF!B13,pvFCF+pvTV+debt+cash)</f>
        <v>0</v>
      </c>
      <c r="C7">
        <f>LET(wacc,$A7,tg,C$1,fcf,DCF!F2,tv,fcf*(1+tg)/(wacc-tg),pvTV,tv/(1+wacc)^5,pvFCF,DCF!B9,debt,DCF!B12,cash,DCF!B13,pvFCF+pvTV+debt+cash)</f>
        <v>0</v>
      </c>
      <c r="D7">
        <f>LET(wacc,$A7,tg,D$1,fcf,DCF!F2,tv,fcf*(1+tg)/(wacc-tg),pvTV,tv/(1+wacc)^5,pvFCF,DCF!B9,debt,DCF!B12,cash,DCF!B13,pvFCF+pvTV+debt+cash)</f>
        <v>0</v>
      </c>
      <c r="E7">
        <f>LET(wacc,$A7,tg,E$1,fcf,DCF!F2,tv,fcf*(1+tg)/(wacc-tg),pvTV,tv/(1+wacc)^5,pvFCF,DCF!B9,debt,DCF!B12,cash,DCF!B13,pvFCF+pvTV+debt+cash)</f>
        <v>0</v>
      </c>
      <c r="F7">
        <f>LET(wacc,$A7,tg,F$1,fcf,DCF!F2,tv,fcf*(1+tg)/(wacc-tg),pvTV,tv/(1+wacc)^5,pvFCF,DCF!B9,debt,DCF!B12,cash,DCF!B13,pvFCF+pvTV+debt+cash)</f>
        <v>0</v>
      </c>
      <c r="G7">
        <f>LET(wacc,$A7,tg,G$1,fcf,DCF!F2,tv,fcf*(1+tg)/(wacc-tg),pvTV,tv/(1+wacc)^5,pvFCF,DCF!B9,debt,DCF!B12,cash,DCF!B13,pvFCF+pvTV+debt+cash)</f>
        <v>0</v>
      </c>
      <c r="H7">
        <f>LET(wacc,$A7,tg,H$1,fcf,DCF!F2,tv,fcf*(1+tg)/(wacc-tg),pvTV,tv/(1+wacc)^5,pvFCF,DCF!B9,debt,DCF!B12,cash,DCF!B13,pvFCF+pvTV+debt+cash)</f>
        <v>0</v>
      </c>
    </row>
    <row r="8">
      <c r="A8">
        <v>0.14</v>
      </c>
      <c r="B8">
        <f>LET(wacc,$A8,tg,B$1,fcf,DCF!F2,tv,fcf*(1+tg)/(wacc-tg),pvTV,tv/(1+wacc)^5,pvFCF,DCF!B9,debt,DCF!B12,cash,DCF!B13,pvFCF+pvTV+debt+cash)</f>
        <v>0</v>
      </c>
      <c r="C8">
        <f>LET(wacc,$A8,tg,C$1,fcf,DCF!F2,tv,fcf*(1+tg)/(wacc-tg),pvTV,tv/(1+wacc)^5,pvFCF,DCF!B9,debt,DCF!B12,cash,DCF!B13,pvFCF+pvTV+debt+cash)</f>
        <v>0</v>
      </c>
      <c r="D8">
        <f>LET(wacc,$A8,tg,D$1,fcf,DCF!F2,tv,fcf*(1+tg)/(wacc-tg),pvTV,tv/(1+wacc)^5,pvFCF,DCF!B9,debt,DCF!B12,cash,DCF!B13,pvFCF+pvTV+debt+cash)</f>
        <v>0</v>
      </c>
      <c r="E8">
        <f>LET(wacc,$A8,tg,E$1,fcf,DCF!F2,tv,fcf*(1+tg)/(wacc-tg),pvTV,tv/(1+wacc)^5,pvFCF,DCF!B9,debt,DCF!B12,cash,DCF!B13,pvFCF+pvTV+debt+cash)</f>
        <v>0</v>
      </c>
      <c r="F8">
        <f>LET(wacc,$A8,tg,F$1,fcf,DCF!F2,tv,fcf*(1+tg)/(wacc-tg),pvTV,tv/(1+wacc)^5,pvFCF,DCF!B9,debt,DCF!B12,cash,DCF!B13,pvFCF+pvTV+debt+cash)</f>
        <v>0</v>
      </c>
      <c r="G8">
        <f>LET(wacc,$A8,tg,G$1,fcf,DCF!F2,tv,fcf*(1+tg)/(wacc-tg),pvTV,tv/(1+wacc)^5,pvFCF,DCF!B9,debt,DCF!B12,cash,DCF!B13,pvFCF+pvTV+debt+cash)</f>
        <v>0</v>
      </c>
      <c r="H8">
        <f>LET(wacc,$A8,tg,H$1,fcf,DCF!F2,tv,fcf*(1+tg)/(wacc-tg),pvTV,tv/(1+wacc)^5,pvFCF,DCF!B9,debt,DCF!B12,cash,DCF!B13,pvFCF+pvTV+debt+cash)</f>
        <v>0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Company</v>
      </c>
      <c r="B1" t="str">
        <v>Revenue ($M)</v>
      </c>
      <c r="C1" t="str">
        <v>EBITDA ($M)</v>
      </c>
      <c r="D1" t="str">
        <v>EV ($M)</v>
      </c>
      <c r="E1" t="str">
        <v>EV/Revenue</v>
      </c>
      <c r="F1" t="str">
        <v>EV/EBITDA</v>
      </c>
    </row>
    <row r="2">
      <c r="A2" t="str">
        <v>Competitor A</v>
      </c>
      <c r="B2">
        <v>100</v>
      </c>
      <c r="C2">
        <v>25</v>
      </c>
      <c r="D2">
        <v>500</v>
      </c>
      <c r="E2">
        <f>D2/B2</f>
        <v>0</v>
      </c>
      <c r="F2">
        <f>D2/C2</f>
        <v>0</v>
      </c>
    </row>
    <row r="3">
      <c r="A3" t="str">
        <v>Competitor B</v>
      </c>
      <c r="B3">
        <v>250</v>
      </c>
      <c r="C3">
        <v>60</v>
      </c>
      <c r="D3">
        <v>1200</v>
      </c>
      <c r="E3">
        <f>D3/B3</f>
        <v>0</v>
      </c>
      <c r="F3">
        <f>D3/C3</f>
        <v>0</v>
      </c>
    </row>
    <row r="4">
      <c r="A4" t="str">
        <v>Competitor C</v>
      </c>
      <c r="B4">
        <v>75</v>
      </c>
      <c r="C4">
        <v>15</v>
      </c>
      <c r="D4">
        <v>300</v>
      </c>
      <c r="E4">
        <f>D4/B4</f>
        <v>0</v>
      </c>
      <c r="F4">
        <f>D4/C4</f>
        <v>0</v>
      </c>
    </row>
    <row r="5">
      <c r="A5" t="str">
        <v>Competitor D</v>
      </c>
      <c r="B5">
        <v>500</v>
      </c>
      <c r="C5">
        <v>120</v>
      </c>
      <c r="D5">
        <v>3000</v>
      </c>
      <c r="E5">
        <f>D5/B5</f>
        <v>0</v>
      </c>
      <c r="F5">
        <f>D5/C5</f>
        <v>0</v>
      </c>
    </row>
    <row r="6">
      <c r="A6" t="str">
        <v>Median</v>
      </c>
      <c r="E6">
        <f>MEDIAN(E2:E5)</f>
        <v>0</v>
      </c>
      <c r="F6">
        <f>MEDIAN(F2:F5)</f>
        <v>0</v>
      </c>
    </row>
    <row r="8">
      <c r="A8" t="str">
        <v>Acme via EV/Rev</v>
      </c>
      <c r="B8">
        <f>IFERROR('[Financials.xlsx]P&amp;L'!B2/1000000*E6,0)</f>
        <v>0</v>
      </c>
    </row>
    <row r="9">
      <c r="A9" t="str">
        <v>Acme via EV/EBITDA</v>
      </c>
      <c r="B9">
        <f>IFERROR('[Financials.xlsx]P&amp;L'!B7/1000000*F6,0)</f>
        <v>0</v>
      </c>
    </row>
    <row r="11">
      <c r="A11" t="str">
        <v>Highest EV/Rev Comp</v>
      </c>
      <c r="B11">
        <f>IFERROR(INDEX(A2:A5,MATCH(MAX(E2:E5),E2:E5,0)),"")</f>
        <v>0</v>
      </c>
    </row>
    <row r="12">
      <c r="A12" t="str">
        <v>Alt Rev Ref (numeric)</v>
      </c>
      <c r="B12">
        <f>IFERROR('[1]Revenue'!B7,0)</f>
        <v>0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</vt:lpstr>
      <vt:lpstr>Sensitivity</vt:lpstr>
      <vt:lpstr>Comparables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
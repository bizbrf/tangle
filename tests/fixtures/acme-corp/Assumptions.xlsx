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" sheetId="1" r:id="rId1"/>
    <sheet name="Rates" sheetId="2" r:id="rId2"/>
    <sheet name="Scenarios" sheetId="3" r:id="rId3"/>
    <sheet name="P&amp;L (Draft)" sheetId="4" r:id="rId4"/>
  </sheets>
  <definedNames>
    <definedName name="TaxRate">Global!$B$2</definedName>
    <definedName name="GrowthRate">Global!$B$3</definedName>
    <definedName name="InflationRate">Global!$B$4</definedName>
    <definedName name="DiscountRate">Global!$B$5</definedName>
    <definedName name="TerminalGrowth">Global!$B$6</definedName>
    <definedName name="FYStart">Global!$B$7</definedName>
    <definedName name="ProjectionYears">Global!$B$8</definedName>
    <definedName name="HeadcountGrowth">Global!$B$9</definedName>
    <definedName name="SalaryInflation">Global!$B$10</definedName>
    <definedName name="BenefitsRate">Global!$B$11</definedName>
    <definedName name="DebtRate">Global!$B$12</definedName>
    <definedName name="DebtTerm">Global!$B$13</definedName>
    <definedName name="BaseRevenue">Global!$B$14</definedName>
    <definedName name="BaseCOGS">Global!$B$15</definedName>
    <definedName name="BaseOpEx">Global!$B$16</definedName>
    <definedName name="RevenueGrowthHigh">Global!$B$17</definedName>
    <definedName name="RevenueGrowthMid">Global!$B$18</definedName>
    <definedName name="RevenueGrowthLow">Global!$B$19</definedName>
    <definedName name="EffectiveTaxRate">Global!$B$3</definedName>
    <definedName name="WACCRate">Global!$B$6</definedName>
    <definedName name="BaseGrowth">Global!$B$4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Parameter</v>
      </c>
      <c r="B1" t="str">
        <v>Value</v>
      </c>
      <c r="C1" t="str">
        <v>Unit</v>
      </c>
      <c r="D1" t="str">
        <v>Notes</v>
      </c>
    </row>
    <row r="2">
      <c r="A2" t="str">
        <v>TaxRate</v>
      </c>
      <c r="B2">
        <v>0.25</v>
      </c>
      <c r="C2" t="str">
        <v>%</v>
      </c>
      <c r="D2" t="str">
        <v>Corporate tax rate</v>
      </c>
    </row>
    <row r="3">
      <c r="A3" t="str">
        <v>GrowthRate</v>
      </c>
      <c r="B3">
        <v>0.08</v>
      </c>
      <c r="C3" t="str">
        <v>%</v>
      </c>
      <c r="D3" t="str">
        <v>Base revenue growth</v>
      </c>
    </row>
    <row r="4">
      <c r="A4" t="str">
        <v>InflationRate</v>
      </c>
      <c r="B4">
        <v>0.03</v>
      </c>
      <c r="C4" t="str">
        <v>%</v>
      </c>
      <c r="D4" t="str">
        <v>Annual inflation</v>
      </c>
    </row>
    <row r="5">
      <c r="A5" t="str">
        <v>DiscountRate</v>
      </c>
      <c r="B5">
        <v>0.1</v>
      </c>
      <c r="C5" t="str">
        <v>%</v>
      </c>
      <c r="D5" t="str">
        <v>WACC for DCF</v>
      </c>
    </row>
    <row r="6">
      <c r="A6" t="str">
        <v>TerminalGrowth</v>
      </c>
      <c r="B6">
        <v>0.025</v>
      </c>
      <c r="C6" t="str">
        <v>%</v>
      </c>
      <c r="D6" t="str">
        <v>Terminal growth rate</v>
      </c>
    </row>
    <row r="7">
      <c r="A7" t="str">
        <v>FYStart</v>
      </c>
      <c r="B7">
        <v>2024</v>
      </c>
      <c r="C7" t="str">
        <v>Year</v>
      </c>
      <c r="D7" t="str">
        <v>First projection year</v>
      </c>
    </row>
    <row r="8">
      <c r="A8" t="str">
        <v>ProjectionYears</v>
      </c>
      <c r="B8">
        <v>5</v>
      </c>
      <c r="C8" t="str">
        <v>Years</v>
      </c>
      <c r="D8" t="str">
        <v>Number of years</v>
      </c>
    </row>
    <row r="9">
      <c r="A9" t="str">
        <v>HeadcountGrowth</v>
      </c>
      <c r="B9">
        <v>0.1</v>
      </c>
      <c r="C9" t="str">
        <v>%</v>
      </c>
      <c r="D9" t="str">
        <v>Annual hiring growth</v>
      </c>
    </row>
    <row r="10">
      <c r="A10" t="str">
        <v>SalaryInflation</v>
      </c>
      <c r="B10">
        <v>0.04</v>
      </c>
      <c r="C10" t="str">
        <v>%</v>
      </c>
      <c r="D10" t="str">
        <v>Annual salary increase</v>
      </c>
    </row>
    <row r="11">
      <c r="A11" t="str">
        <v>BenefitsRate</v>
      </c>
      <c r="B11">
        <v>0.3</v>
      </c>
      <c r="C11" t="str">
        <v>%</v>
      </c>
      <c r="D11" t="str">
        <v>Benefits as pct of salary</v>
      </c>
    </row>
    <row r="12">
      <c r="A12" t="str">
        <v>DebtRate</v>
      </c>
      <c r="B12">
        <v>0.06</v>
      </c>
      <c r="C12" t="str">
        <v>%</v>
      </c>
      <c r="D12" t="str">
        <v>Interest rate on debt</v>
      </c>
    </row>
    <row r="13">
      <c r="A13" t="str">
        <v>DebtTerm</v>
      </c>
      <c r="B13">
        <v>10</v>
      </c>
      <c r="C13" t="str">
        <v>Years</v>
      </c>
      <c r="D13" t="str">
        <v>Loan term</v>
      </c>
    </row>
    <row r="14">
      <c r="A14" t="str">
        <v>BaseRevenue</v>
      </c>
      <c r="B14">
        <v>50000000</v>
      </c>
      <c r="C14" t="str">
        <v>$</v>
      </c>
      <c r="D14" t="str">
        <v>Year 1 revenue</v>
      </c>
    </row>
    <row r="15">
      <c r="A15" t="str">
        <v>BaseCOGS</v>
      </c>
      <c r="B15">
        <v>20000000</v>
      </c>
      <c r="C15" t="str">
        <v>$</v>
      </c>
      <c r="D15" t="str">
        <v>Year 1 COGS</v>
      </c>
    </row>
    <row r="16">
      <c r="A16" t="str">
        <v>BaseOpEx</v>
      </c>
      <c r="B16">
        <v>15000000</v>
      </c>
      <c r="C16" t="str">
        <v>$</v>
      </c>
      <c r="D16" t="str">
        <v>Year 1 operating expenses</v>
      </c>
    </row>
    <row r="17">
      <c r="A17" t="str">
        <v>RevenueGrowthHigh</v>
      </c>
      <c r="B17">
        <v>0.12</v>
      </c>
      <c r="C17" t="str">
        <v>%</v>
      </c>
      <c r="D17" t="str">
        <v>Optimistic scenario</v>
      </c>
    </row>
    <row r="18">
      <c r="A18" t="str">
        <v>RevenueGrowthMid</v>
      </c>
      <c r="B18">
        <v>0.08</v>
      </c>
      <c r="C18" t="str">
        <v>%</v>
      </c>
      <c r="D18" t="str">
        <v>Base case scenario</v>
      </c>
    </row>
    <row r="19">
      <c r="A19" t="str">
        <v>RevenueGrowthLow</v>
      </c>
      <c r="B19">
        <v>0.04</v>
      </c>
      <c r="C19" t="str">
        <v>%</v>
      </c>
      <c r="D19" t="str">
        <v>Conservative scenario</v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Year</v>
      </c>
      <c r="B1" t="str">
        <v>Revenue Growth</v>
      </c>
      <c r="C1" t="str">
        <v>COGS Pct</v>
      </c>
      <c r="D1" t="str">
        <v>OpEx Growth</v>
      </c>
      <c r="E1" t="str">
        <v>Headcount Growth</v>
      </c>
    </row>
    <row r="2">
      <c r="A2">
        <v>2024</v>
      </c>
      <c r="B2">
        <f>GrowthRate*1</f>
        <v>0</v>
      </c>
      <c r="C2">
        <v>0.4</v>
      </c>
      <c r="D2">
        <f>InflationRate*1</f>
        <v>0</v>
      </c>
      <c r="E2">
        <f>HeadcountGrowth*1</f>
        <v>0</v>
      </c>
    </row>
    <row r="3">
      <c r="A3">
        <v>2025</v>
      </c>
      <c r="B3">
        <f>GrowthRate*1.05</f>
        <v>0</v>
      </c>
      <c r="C3">
        <v>0.39</v>
      </c>
      <c r="D3">
        <f>InflationRate*1.02</f>
        <v>0</v>
      </c>
      <c r="E3">
        <f>HeadcountGrowth*0.9</f>
        <v>0</v>
      </c>
    </row>
    <row r="4">
      <c r="A4">
        <v>2026</v>
      </c>
      <c r="B4">
        <f>GrowthRate*0.95</f>
        <v>0</v>
      </c>
      <c r="C4">
        <v>0.38</v>
      </c>
      <c r="D4">
        <f>InflationRate*1.01</f>
        <v>0</v>
      </c>
      <c r="E4">
        <f>HeadcountGrowth*0.8</f>
        <v>0</v>
      </c>
    </row>
    <row r="5">
      <c r="A5">
        <v>2027</v>
      </c>
      <c r="B5">
        <f>GrowthRate*0.9</f>
        <v>0</v>
      </c>
      <c r="C5">
        <v>0.37</v>
      </c>
      <c r="D5">
        <f>InflationRate*1</f>
        <v>0</v>
      </c>
      <c r="E5">
        <f>HeadcountGrowth*0.7</f>
        <v>0</v>
      </c>
    </row>
    <row r="6">
      <c r="A6">
        <v>2028</v>
      </c>
      <c r="B6">
        <f>GrowthRate*0.85</f>
        <v>0</v>
      </c>
      <c r="C6">
        <v>0.37</v>
      </c>
      <c r="D6">
        <f>InflationRate*0.98</f>
        <v>0</v>
      </c>
      <c r="E6">
        <f>HeadcountGrowth*0.6</f>
        <v>0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Metric</v>
      </c>
      <c r="B1" t="str">
        <v>Low</v>
      </c>
      <c r="C1" t="str">
        <v>Base</v>
      </c>
      <c r="D1" t="str">
        <v>High</v>
      </c>
    </row>
    <row r="2">
      <c r="A2" t="str">
        <v>Revenue Growth</v>
      </c>
      <c r="B2">
        <f>RevenueGrowthLow</f>
        <v>0</v>
      </c>
      <c r="C2">
        <f>RevenueGrowthMid</f>
        <v>0</v>
      </c>
      <c r="D2">
        <f>RevenueGrowthHigh</f>
        <v>0</v>
      </c>
    </row>
    <row r="3">
      <c r="A3" t="str">
        <v>Tax Rate</v>
      </c>
      <c r="B3">
        <f>TaxRate+0.05</f>
        <v>0</v>
      </c>
      <c r="C3">
        <f>EffectiveTaxRate</f>
        <v>0</v>
      </c>
      <c r="D3">
        <f>TaxRate-0.03</f>
        <v>0</v>
      </c>
    </row>
    <row r="4">
      <c r="A4" t="str">
        <v>Discount Rate</v>
      </c>
      <c r="B4">
        <f>WACCRate+0.02</f>
        <v>0</v>
      </c>
      <c r="C4">
        <f>WACCRate</f>
        <v>0</v>
      </c>
      <c r="D4">
        <f>WACCRate-0.02</f>
        <v>0</v>
      </c>
    </row>
    <row r="5">
      <c r="A5" t="str">
        <v>Terminal Growth</v>
      </c>
      <c r="B5">
        <f>TerminalGrowth-0.005</f>
        <v>0</v>
      </c>
      <c r="C5">
        <f>TerminalGrowth</f>
        <v>0</v>
      </c>
      <c r="D5">
        <f>TerminalGrowth+0.005</f>
        <v>0</v>
      </c>
    </row>
    <row r="7">
      <c r="A7" t="str">
        <v>Scenario Flag</v>
      </c>
      <c r="B7">
        <f>IF(AND(OR(RevenueGrowthLow&gt;0.03,RevenueGrowthMid&gt;0.05),EffectiveTaxRate&lt;0.30),"Go","Hold")</f>
        <v>0</v>
      </c>
    </row>
    <row r="8">
      <c r="A8" t="str">
        <v>3D Sum Check</v>
      </c>
      <c r="B8">
        <f>SUM('Global:Scenarios'!B2)</f>
        <v>0</v>
      </c>
    </row>
    <row r="9">
      <c r="A9" t="str">
        <v>Dynamic Lookup</v>
      </c>
      <c r="B9">
        <f>INDIRECT("Global!B"&amp;ROW(B4))</f>
        <v>0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Note</v>
      </c>
      <c r="B1" t="str">
        <v>Value</v>
      </c>
    </row>
    <row r="2">
      <c r="A2" t="str">
        <v>Draft rev estimate</v>
      </c>
      <c r="B2">
        <f>BaseRevenue*1.05</f>
        <v>0</v>
      </c>
    </row>
    <row r="3">
      <c r="A3" t="str">
        <v>Adj. tax</v>
      </c>
      <c r="B3">
        <f>EffectiveTaxRate</f>
        <v>0</v>
      </c>
    </row>
    <row r="4">
      <c r="A4" t="str">
        <v>Growth scenario check</v>
      </c>
      <c r="B4">
        <f>IF(BaseGrowth&gt;0.05,"Aggressive","Conservative")</f>
        <v>0</v>
      </c>
    </row>
    <row r="5">
      <c r="A5" t="str">
        <v>Rate via INDIRECT</v>
      </c>
      <c r="B5">
        <f>INDIRECT("Rates!B"&amp;2)</f>
        <v>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Rates</vt:lpstr>
      <vt:lpstr>Scenarios</vt:lpstr>
      <vt:lpstr>P&amp;L (Draft)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
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cing Assumptions" sheetId="1" r:id="rId1"/>
    <sheet name="Premium Summary" sheetId="2" r:id="rId2"/>
    <sheet name="Exp BI" sheetId="3" r:id="rId3"/>
    <sheet name="RI BI" sheetId="4" r:id="rId4"/>
    <sheet name="Exp PD" sheetId="5" r:id="rId5"/>
    <sheet name="RI PD" sheetId="6" r:id="rId6"/>
    <sheet name="Exp Comp" sheetId="7" r:id="rId7"/>
    <sheet name="RI Comp" sheetId="8" r:id="rId8"/>
    <sheet name="Exp Coll" sheetId="9" r:id="rId9"/>
    <sheet name="RI Coll" sheetId="10" r:id="rId10"/>
    <sheet name="Exp UM" sheetId="11" r:id="rId11"/>
    <sheet name="RI UM" sheetId="12" r:id="rId12"/>
    <sheet name="Exp UIM" sheetId="13" r:id="rId13"/>
    <sheet name="RI UIM" sheetId="14" r:id="rId14"/>
    <sheet name="Exp MedPay" sheetId="15" r:id="rId15"/>
    <sheet name="RI MedPay" sheetId="16" r:id="rId16"/>
    <sheet name="Exp PIP" sheetId="17" r:id="rId17"/>
    <sheet name="RI PIP" sheetId="18" r:id="rId18"/>
    <sheet name="Exp Rental" sheetId="19" r:id="rId19"/>
    <sheet name="RI Rental" sheetId="20" r:id="rId20"/>
    <sheet name="Exp Towing" sheetId="21" r:id="rId21"/>
    <sheet name="RI Towing" sheetId="22" r:id="rId22"/>
    <sheet name="State Relativities" sheetId="23" r:id="rId23"/>
    <sheet name="Overall Indication" sheetId="24" r:id="rId24"/>
    <sheet name="Competitive Analysis" sheetId="25" r:id="rId25"/>
  </sheets>
  <definedNames>
    <definedName name="TargetLR">'Pricing Assumptions'!$B$5</definedName>
    <definedName name="FixedExpense">'Pricing Assumptions'!$B$6</definedName>
    <definedName name="VarExpense">'Pricing Assumptions'!$B$7</definedName>
    <definedName name="ProfitLoad">'Pricing Assumptions'!$B$8</definedName>
    <definedName name="InvCredit">'Pricing Assumptions'!$B$9</definedName>
    <definedName name="LossTrend">'Pricing Assumptions'!$B$10</definedName>
    <definedName name="PremTrend">'Pricing Assumptions'!$B$11</definedName>
    <definedName name="CredZ">'Pricing Assumptions'!$B$12</definedName>
    <definedName name="CompLR">'Pricing Assumptions'!$B$13</definedName>
    <definedName name="PricingULAE">'Pricing Assumptions'!$B$14</definedName>
    <definedName name="RateCapPct">'Pricing Assumptions'!$B$15</definedName>
    <definedName name="RateFloorPct">'Pricing Assumptions'!$B$16</definedName>
    <definedName name="ExpTrend">'Pricing Assumptions'!$B$17</definedName>
    <definedName name="ReinsCostPct">'Pricing Assumptions'!$B$18</definedName>
    <definedName name="RateChange_BI">'RI BI'!$C$12</definedName>
    <definedName name="RateChange_PD">'RI PD'!$C$12</definedName>
    <definedName name="RateChange_Comp">'RI Comp'!$C$12</definedName>
    <definedName name="RateChange_Coll">'RI Coll'!$C$12</definedName>
    <definedName name="RateChange_UM">'RI UM'!$C$12</definedName>
    <definedName name="RateChange_UIM">'RI UIM'!$C$12</definedName>
    <definedName name="RateChange_MedPay">'RI MedPay'!$C$12</definedName>
    <definedName name="RateChange_PIP">'RI PIP'!$C$12</definedName>
    <definedName name="RateChange_Rental">'RI Rental'!$C$12</definedName>
    <definedName name="RateChange_Towing">'RI Towing'!$C$12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theme" Target="theme/theme1.xml"/><Relationship Id="rId27" Type="http://schemas.openxmlformats.org/officeDocument/2006/relationships/styles" Target="styles.xml"/><Relationship Id="rId2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Data>
    <row r="1">
      <c r="A1" t="str">
        <v>Pricing Assumptions</v>
      </c>
    </row>
    <row r="2">
      <c r="A2" t="str">
        <v>Effective Date</v>
      </c>
      <c r="B2" t="str">
        <v>07/01/2026</v>
      </c>
    </row>
    <row r="3">
      <c r="A3" t="str">
        <v/>
      </c>
    </row>
    <row r="4">
      <c r="A4" t="str">
        <v>Parameter</v>
      </c>
      <c r="B4" t="str">
        <v>Value</v>
      </c>
    </row>
    <row r="5">
      <c r="A5" t="str">
        <v>Target Loss Ratio</v>
      </c>
      <c r="B5">
        <v>0.65</v>
      </c>
    </row>
    <row r="6">
      <c r="A6" t="str">
        <v>Fixed Expense Ratio</v>
      </c>
      <c r="B6">
        <v>0.12</v>
      </c>
    </row>
    <row r="7">
      <c r="A7" t="str">
        <v>Variable Expense Ratio</v>
      </c>
      <c r="B7">
        <v>0.15</v>
      </c>
    </row>
    <row r="8">
      <c r="A8" t="str">
        <v>Profit &amp; Contingency</v>
      </c>
      <c r="B8">
        <v>0.05</v>
      </c>
    </row>
    <row r="9">
      <c r="A9" t="str">
        <v>Investment Income Credit</v>
      </c>
      <c r="B9">
        <v>0.02</v>
      </c>
    </row>
    <row r="10">
      <c r="A10" t="str">
        <v>Loss Trend Annual</v>
      </c>
      <c r="B10">
        <v>0.04</v>
      </c>
    </row>
    <row r="11">
      <c r="A11" t="str">
        <v>Premium Trend Annual</v>
      </c>
      <c r="B11">
        <v>0.03</v>
      </c>
    </row>
    <row r="12">
      <c r="A12" t="str">
        <v>Credibility Z</v>
      </c>
      <c r="B12">
        <v>0.85</v>
      </c>
    </row>
    <row r="13">
      <c r="A13" t="str">
        <v>Complement LR</v>
      </c>
      <c r="B13">
        <v>0.7</v>
      </c>
    </row>
    <row r="14">
      <c r="A14" t="str">
        <v>ULAE Ratio</v>
      </c>
      <c r="B14">
        <v>0.08</v>
      </c>
    </row>
    <row r="15">
      <c r="A15" t="str">
        <v>Rate Change Cap</v>
      </c>
      <c r="B15">
        <v>0.15</v>
      </c>
    </row>
    <row r="16">
      <c r="A16" t="str">
        <v>Rate Change Floor</v>
      </c>
      <c r="B16">
        <v>-0.1</v>
      </c>
    </row>
    <row r="17">
      <c r="A17" t="str">
        <v>Expense Trend</v>
      </c>
      <c r="B17">
        <v>0.025</v>
      </c>
    </row>
    <row r="18">
      <c r="A18" t="str">
        <v>Reinsurance Cost %</v>
      </c>
      <c r="B18">
        <v>0.03</v>
      </c>
    </row>
  </sheetData>
  <ignoredErrors>
    <ignoredError numberStoredAsText="1" sqref="A1:B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Year</v>
      </c>
      <c r="B1" t="str">
        <v>Written Premium</v>
      </c>
      <c r="C1" t="str">
        <v>Earned Premium</v>
      </c>
      <c r="D1" t="str">
        <v>On-Level Factor</v>
      </c>
      <c r="E1" t="str">
        <v>On-Level EP</v>
      </c>
    </row>
    <row r="2">
      <c r="A2">
        <v>2018</v>
      </c>
      <c r="B2">
        <v>5000000</v>
      </c>
      <c r="C2">
        <f>'Premium Summary'!B2*0.98</f>
        <v>0</v>
      </c>
      <c r="D2">
        <v>1</v>
      </c>
      <c r="E2">
        <f>'Premium Summary'!C2*'Premium Summary'!D2</f>
        <v>0</v>
      </c>
    </row>
    <row r="3">
      <c r="A3">
        <v>2019</v>
      </c>
      <c r="B3">
        <v>5300000</v>
      </c>
      <c r="C3">
        <f>'Premium Summary'!B3*0.98</f>
        <v>0</v>
      </c>
      <c r="D3">
        <v>1.02</v>
      </c>
      <c r="E3">
        <f>'Premium Summary'!C3*'Premium Summary'!D3</f>
        <v>0</v>
      </c>
    </row>
    <row r="4">
      <c r="A4">
        <v>2020</v>
      </c>
      <c r="B4">
        <v>5600000</v>
      </c>
      <c r="C4">
        <f>'Premium Summary'!B4*0.98</f>
        <v>0</v>
      </c>
      <c r="D4">
        <v>1.04</v>
      </c>
      <c r="E4">
        <f>'Premium Summary'!C4*'Premium Summary'!D4</f>
        <v>0</v>
      </c>
    </row>
    <row r="5">
      <c r="A5">
        <v>2021</v>
      </c>
      <c r="B5">
        <v>5900000</v>
      </c>
      <c r="C5">
        <f>'Premium Summary'!B5*0.98</f>
        <v>0</v>
      </c>
      <c r="D5">
        <v>1.06</v>
      </c>
      <c r="E5">
        <f>'Premium Summary'!C5*'Premium Summary'!D5</f>
        <v>0</v>
      </c>
    </row>
    <row r="6">
      <c r="A6">
        <v>2022</v>
      </c>
      <c r="B6">
        <v>6200000</v>
      </c>
      <c r="C6">
        <f>'Premium Summary'!B6*0.98</f>
        <v>0</v>
      </c>
      <c r="D6">
        <v>1.08</v>
      </c>
      <c r="E6">
        <f>'Premium Summary'!C6*'Premium Summary'!D6</f>
        <v>0</v>
      </c>
    </row>
    <row r="7">
      <c r="A7">
        <v>2023</v>
      </c>
      <c r="B7">
        <v>6500000</v>
      </c>
      <c r="C7">
        <f>'Premium Summary'!B7*0.98</f>
        <v>0</v>
      </c>
      <c r="D7">
        <v>1.1</v>
      </c>
      <c r="E7">
        <f>'Premium Summary'!C7*'Premium Summary'!D7</f>
        <v>0</v>
      </c>
    </row>
    <row r="8">
      <c r="A8">
        <v>2024</v>
      </c>
      <c r="B8">
        <v>6800000</v>
      </c>
      <c r="C8">
        <f>'Premium Summary'!B8*0.98</f>
        <v>0</v>
      </c>
      <c r="D8">
        <v>1.12</v>
      </c>
      <c r="E8">
        <f>'Premium Summary'!C8*'Premium Summary'!D8</f>
        <v>0</v>
      </c>
    </row>
    <row r="9">
      <c r="A9">
        <v>2025</v>
      </c>
      <c r="B9">
        <v>7100000</v>
      </c>
      <c r="C9">
        <f>'Premium Summary'!B9*0.98</f>
        <v>0</v>
      </c>
      <c r="D9">
        <v>1.1400000000000001</v>
      </c>
      <c r="E9">
        <f>'Premium Summary'!C9*'Premium Summary'!D9</f>
        <v>0</v>
      </c>
    </row>
  </sheetData>
  <ignoredErrors>
    <ignoredError numberStoredAsText="1" sqref="A1:E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Data>
    <row r="1">
      <c r="A1" t="str">
        <v>Year</v>
      </c>
      <c r="B1" t="str">
        <v>Earned Prem</v>
      </c>
      <c r="C1" t="str">
        <v>Incurred Loss</v>
      </c>
      <c r="D1" t="str">
        <v>Paid Loss</v>
      </c>
      <c r="E1" t="str">
        <v>ALAE</v>
      </c>
      <c r="F1" t="str">
        <v>Loss Ratio</v>
      </c>
      <c r="G1" t="str">
        <v>Dev Factor</v>
      </c>
      <c r="H1" t="str">
        <v>Ult Loss</v>
      </c>
      <c r="I1" t="str">
        <v>Ult LR</v>
      </c>
    </row>
    <row r="2">
      <c r="A2">
        <v>2018</v>
      </c>
      <c r="B2">
        <f>'Premium Summary'!E2*0.10</f>
        <v>0</v>
      </c>
      <c r="C2">
        <v>691479</v>
      </c>
      <c r="D2">
        <v>449245</v>
      </c>
      <c r="E2">
        <f>'Exp BI'!C2*PricingULAE</f>
        <v>0</v>
      </c>
      <c r="F2">
        <f>('Exp BI'!C2+'Exp BI'!E2)/'Exp BI'!B2</f>
        <v>0</v>
      </c>
      <c r="G2">
        <f>[reserve-model.xlsx]'LDF Summary'!B2</f>
        <v>0</v>
      </c>
      <c r="H2">
        <f>('Exp BI'!C2+'Exp BI'!E2)*'Exp BI'!G2</f>
        <v>0</v>
      </c>
      <c r="I2">
        <f>'Exp BI'!H2/'Exp BI'!B2</f>
        <v>0</v>
      </c>
    </row>
    <row r="3">
      <c r="A3">
        <v>2019</v>
      </c>
      <c r="B3">
        <f>'Premium Summary'!E3*0.10</f>
        <v>0</v>
      </c>
      <c r="C3">
        <v>359210</v>
      </c>
      <c r="D3">
        <v>472579</v>
      </c>
      <c r="E3">
        <f>'Exp BI'!C3*PricingULAE</f>
        <v>0</v>
      </c>
      <c r="F3">
        <f>('Exp BI'!C3+'Exp BI'!E3)/'Exp BI'!B3</f>
        <v>0</v>
      </c>
      <c r="G3">
        <f>[reserve-model.xlsx]'LDF Summary'!B2</f>
        <v>0</v>
      </c>
      <c r="H3">
        <f>('Exp BI'!C3+'Exp BI'!E3)*'Exp BI'!G3</f>
        <v>0</v>
      </c>
      <c r="I3">
        <f>'Exp BI'!H3/'Exp BI'!B3</f>
        <v>0</v>
      </c>
    </row>
    <row r="4">
      <c r="A4">
        <v>2020</v>
      </c>
      <c r="B4">
        <f>'Premium Summary'!E4*0.10</f>
        <v>0</v>
      </c>
      <c r="C4">
        <v>491369</v>
      </c>
      <c r="D4">
        <v>253211</v>
      </c>
      <c r="E4">
        <f>'Exp BI'!C4*PricingULAE</f>
        <v>0</v>
      </c>
      <c r="F4">
        <f>('Exp BI'!C4+'Exp BI'!E4)/'Exp BI'!B4</f>
        <v>0</v>
      </c>
      <c r="G4">
        <f>[reserve-model.xlsx]'LDF Summary'!B2</f>
        <v>0</v>
      </c>
      <c r="H4">
        <f>('Exp BI'!C4+'Exp BI'!E4)*'Exp BI'!G4</f>
        <v>0</v>
      </c>
      <c r="I4">
        <f>'Exp BI'!H4/'Exp BI'!B4</f>
        <v>0</v>
      </c>
    </row>
    <row r="5">
      <c r="A5">
        <v>2021</v>
      </c>
      <c r="B5">
        <f>'Premium Summary'!E5*0.10</f>
        <v>0</v>
      </c>
      <c r="C5">
        <v>723023</v>
      </c>
      <c r="D5">
        <v>494411</v>
      </c>
      <c r="E5">
        <f>'Exp BI'!C5*PricingULAE</f>
        <v>0</v>
      </c>
      <c r="F5">
        <f>('Exp BI'!C5+'Exp BI'!E5)/'Exp BI'!B5</f>
        <v>0</v>
      </c>
      <c r="G5">
        <f>[reserve-model.xlsx]'LDF Summary'!B2</f>
        <v>0</v>
      </c>
      <c r="H5">
        <f>('Exp BI'!C5+'Exp BI'!E5)*'Exp BI'!G5</f>
        <v>0</v>
      </c>
      <c r="I5">
        <f>'Exp BI'!H5/'Exp BI'!B5</f>
        <v>0</v>
      </c>
    </row>
    <row r="6">
      <c r="A6">
        <v>2022</v>
      </c>
      <c r="B6">
        <f>'Premium Summary'!E6*0.10</f>
        <v>0</v>
      </c>
      <c r="C6">
        <v>639737</v>
      </c>
      <c r="D6">
        <v>322057</v>
      </c>
      <c r="E6">
        <f>'Exp BI'!C6*PricingULAE</f>
        <v>0</v>
      </c>
      <c r="F6">
        <f>('Exp BI'!C6+'Exp BI'!E6)/'Exp BI'!B6</f>
        <v>0</v>
      </c>
      <c r="G6">
        <f>[reserve-model.xlsx]'LDF Summary'!B2</f>
        <v>0</v>
      </c>
      <c r="H6">
        <f>('Exp BI'!C6+'Exp BI'!E6)*'Exp BI'!G6</f>
        <v>0</v>
      </c>
      <c r="I6">
        <f>'Exp BI'!H6/'Exp BI'!B6</f>
        <v>0</v>
      </c>
    </row>
    <row r="7">
      <c r="A7">
        <v>2023</v>
      </c>
      <c r="B7">
        <f>'Premium Summary'!E7*0.10</f>
        <v>0</v>
      </c>
      <c r="C7">
        <v>437417</v>
      </c>
      <c r="D7">
        <v>257783</v>
      </c>
      <c r="E7">
        <f>'Exp BI'!C7*PricingULAE</f>
        <v>0</v>
      </c>
      <c r="F7">
        <f>('Exp BI'!C7+'Exp BI'!E7)/'Exp BI'!B7</f>
        <v>0</v>
      </c>
      <c r="G7">
        <f>[reserve-model.xlsx]'LDF Summary'!B2</f>
        <v>0</v>
      </c>
      <c r="H7">
        <f>('Exp BI'!C7+'Exp BI'!E7)*'Exp BI'!G7</f>
        <v>0</v>
      </c>
      <c r="I7">
        <f>'Exp BI'!H7/'Exp BI'!B7</f>
        <v>0</v>
      </c>
    </row>
    <row r="8">
      <c r="A8">
        <v>2024</v>
      </c>
      <c r="B8">
        <f>'Premium Summary'!E8*0.10</f>
        <v>0</v>
      </c>
      <c r="C8">
        <v>428279</v>
      </c>
      <c r="D8">
        <v>336397</v>
      </c>
      <c r="E8">
        <f>'Exp BI'!C8*PricingULAE</f>
        <v>0</v>
      </c>
      <c r="F8">
        <f>('Exp BI'!C8+'Exp BI'!E8)/'Exp BI'!B8</f>
        <v>0</v>
      </c>
      <c r="G8">
        <f>[reserve-model.xlsx]'LDF Summary'!B2</f>
        <v>0</v>
      </c>
      <c r="H8">
        <f>('Exp BI'!C8+'Exp BI'!E8)*'Exp BI'!G8</f>
        <v>0</v>
      </c>
      <c r="I8">
        <f>'Exp BI'!H8/'Exp BI'!B8</f>
        <v>0</v>
      </c>
    </row>
    <row r="9">
      <c r="A9">
        <v>2025</v>
      </c>
      <c r="B9">
        <f>'Premium Summary'!E9*0.10</f>
        <v>0</v>
      </c>
      <c r="C9">
        <v>375340</v>
      </c>
      <c r="D9">
        <v>311955</v>
      </c>
      <c r="E9">
        <f>'Exp BI'!C9*PricingULAE</f>
        <v>0</v>
      </c>
      <c r="F9">
        <f>('Exp BI'!C9+'Exp BI'!E9)/'Exp BI'!B9</f>
        <v>0</v>
      </c>
      <c r="G9">
        <f>[reserve-model.xlsx]'LDF Summary'!B2</f>
        <v>0</v>
      </c>
      <c r="H9">
        <f>('Exp BI'!C9+'Exp BI'!E9)*'Exp BI'!G9</f>
        <v>0</v>
      </c>
      <c r="I9">
        <f>'Exp BI'!H9/'Exp BI'!B9</f>
        <v>0</v>
      </c>
    </row>
  </sheetData>
  <ignoredErrors>
    <ignoredError numberStoredAsText="1" sqref="A1:I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tr">
        <v>Rate Indication Calculation</v>
      </c>
      <c r="B1" t="str">
        <v>BI</v>
      </c>
    </row>
    <row r="2">
      <c r="A2" t="str">
        <v/>
      </c>
    </row>
    <row r="3">
      <c r="A3" t="str">
        <v>Step</v>
      </c>
      <c r="B3" t="str">
        <v>Description</v>
      </c>
      <c r="C3" t="str">
        <v>Value</v>
      </c>
      <c r="D3" t="str">
        <v>Source</v>
      </c>
    </row>
    <row r="4">
      <c r="A4">
        <v>1</v>
      </c>
      <c r="B4" t="str">
        <v>Historical Ult Loss Ratio</v>
      </c>
      <c r="C4">
        <f>AVERAGE('Exp BI'!I2:I9)</f>
        <v>0</v>
      </c>
    </row>
    <row r="5">
      <c r="A5">
        <v>2</v>
      </c>
      <c r="B5" t="str">
        <v>Credibility-Weighted LR</v>
      </c>
      <c r="C5">
        <f>'RI BI'!C4*CredZ+(1-CredZ)*CompLR</f>
        <v>0</v>
      </c>
    </row>
    <row r="6">
      <c r="A6">
        <v>3</v>
      </c>
      <c r="B6" t="str">
        <v>Trended Loss Ratio</v>
      </c>
      <c r="C6">
        <f>'RI BI'!C5*(1+LossTrend)^2</f>
        <v>0</v>
      </c>
    </row>
    <row r="7">
      <c r="A7">
        <v>4</v>
      </c>
      <c r="B7" t="str">
        <v>Loss + ULAE Ratio</v>
      </c>
      <c r="C7">
        <f>'RI BI'!C6+PricingULAE</f>
        <v>0</v>
      </c>
    </row>
    <row r="8">
      <c r="A8">
        <v>5</v>
      </c>
      <c r="B8" t="str">
        <v>Expense Ratio</v>
      </c>
      <c r="C8">
        <f>FixedExpense+VarExpense+ExpTrend</f>
        <v>0</v>
      </c>
    </row>
    <row r="9">
      <c r="A9">
        <v>6</v>
      </c>
      <c r="B9" t="str">
        <v>UW Profit Target</v>
      </c>
      <c r="C9">
        <f>ProfitLoad-InvCredit</f>
        <v>0</v>
      </c>
    </row>
    <row r="10">
      <c r="A10">
        <v>7</v>
      </c>
      <c r="B10" t="str">
        <v>Required Combined Ratio</v>
      </c>
      <c r="C10">
        <f>'RI BI'!C7+'RI BI'!C8+'RI BI'!C9+ReinsCostPct</f>
        <v>0</v>
      </c>
    </row>
    <row r="11">
      <c r="A11">
        <v>8</v>
      </c>
      <c r="B11" t="str">
        <v>Indicated Rate Change</v>
      </c>
      <c r="C11">
        <f>'RI BI'!C10-1</f>
        <v>0</v>
      </c>
    </row>
    <row r="12">
      <c r="A12">
        <v>9</v>
      </c>
      <c r="B12" t="str">
        <v>Capped Rate Change</v>
      </c>
      <c r="C12">
        <f>MIN(MAX('RI BI'!C11,RateFloorPct),RateCapPct)</f>
        <v>0</v>
      </c>
    </row>
  </sheetData>
  <ignoredErrors>
    <ignoredError numberStoredAsText="1" sqref="A1:D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Data>
    <row r="1">
      <c r="A1" t="str">
        <v>Year</v>
      </c>
      <c r="B1" t="str">
        <v>Earned Prem</v>
      </c>
      <c r="C1" t="str">
        <v>Incurred Loss</v>
      </c>
      <c r="D1" t="str">
        <v>Paid Loss</v>
      </c>
      <c r="E1" t="str">
        <v>ALAE</v>
      </c>
      <c r="F1" t="str">
        <v>Loss Ratio</v>
      </c>
      <c r="G1" t="str">
        <v>Dev Factor</v>
      </c>
      <c r="H1" t="str">
        <v>Ult Loss</v>
      </c>
      <c r="I1" t="str">
        <v>Ult LR</v>
      </c>
    </row>
    <row r="2">
      <c r="A2">
        <v>2018</v>
      </c>
      <c r="B2">
        <f>'Premium Summary'!E2*0.11</f>
        <v>0</v>
      </c>
      <c r="C2">
        <v>323173</v>
      </c>
      <c r="D2">
        <v>363201</v>
      </c>
      <c r="E2">
        <f>'Exp PD'!C2*PricingULAE</f>
        <v>0</v>
      </c>
      <c r="F2">
        <f>('Exp PD'!C2+'Exp PD'!E2)/'Exp PD'!B2</f>
        <v>0</v>
      </c>
      <c r="G2">
        <f>[reserve-model.xlsx]'LDF Summary'!B3</f>
        <v>0</v>
      </c>
      <c r="H2">
        <f>('Exp PD'!C2+'Exp PD'!E2)*'Exp PD'!G2</f>
        <v>0</v>
      </c>
      <c r="I2">
        <f>'Exp PD'!H2/'Exp PD'!B2</f>
        <v>0</v>
      </c>
    </row>
    <row r="3">
      <c r="A3">
        <v>2019</v>
      </c>
      <c r="B3">
        <f>'Premium Summary'!E3*0.11</f>
        <v>0</v>
      </c>
      <c r="C3">
        <v>617355</v>
      </c>
      <c r="D3">
        <v>561361</v>
      </c>
      <c r="E3">
        <f>'Exp PD'!C3*PricingULAE</f>
        <v>0</v>
      </c>
      <c r="F3">
        <f>('Exp PD'!C3+'Exp PD'!E3)/'Exp PD'!B3</f>
        <v>0</v>
      </c>
      <c r="G3">
        <f>[reserve-model.xlsx]'LDF Summary'!B3</f>
        <v>0</v>
      </c>
      <c r="H3">
        <f>('Exp PD'!C3+'Exp PD'!E3)*'Exp PD'!G3</f>
        <v>0</v>
      </c>
      <c r="I3">
        <f>'Exp PD'!H3/'Exp PD'!B3</f>
        <v>0</v>
      </c>
    </row>
    <row r="4">
      <c r="A4">
        <v>2020</v>
      </c>
      <c r="B4">
        <f>'Premium Summary'!E4*0.11</f>
        <v>0</v>
      </c>
      <c r="C4">
        <v>315065</v>
      </c>
      <c r="D4">
        <v>572583</v>
      </c>
      <c r="E4">
        <f>'Exp PD'!C4*PricingULAE</f>
        <v>0</v>
      </c>
      <c r="F4">
        <f>('Exp PD'!C4+'Exp PD'!E4)/'Exp PD'!B4</f>
        <v>0</v>
      </c>
      <c r="G4">
        <f>[reserve-model.xlsx]'LDF Summary'!B3</f>
        <v>0</v>
      </c>
      <c r="H4">
        <f>('Exp PD'!C4+'Exp PD'!E4)*'Exp PD'!G4</f>
        <v>0</v>
      </c>
      <c r="I4">
        <f>'Exp PD'!H4/'Exp PD'!B4</f>
        <v>0</v>
      </c>
    </row>
    <row r="5">
      <c r="A5">
        <v>2021</v>
      </c>
      <c r="B5">
        <f>'Premium Summary'!E5*0.11</f>
        <v>0</v>
      </c>
      <c r="C5">
        <v>569524</v>
      </c>
      <c r="D5">
        <v>459378</v>
      </c>
      <c r="E5">
        <f>'Exp PD'!C5*PricingULAE</f>
        <v>0</v>
      </c>
      <c r="F5">
        <f>('Exp PD'!C5+'Exp PD'!E5)/'Exp PD'!B5</f>
        <v>0</v>
      </c>
      <c r="G5">
        <f>[reserve-model.xlsx]'LDF Summary'!B3</f>
        <v>0</v>
      </c>
      <c r="H5">
        <f>('Exp PD'!C5+'Exp PD'!E5)*'Exp PD'!G5</f>
        <v>0</v>
      </c>
      <c r="I5">
        <f>'Exp PD'!H5/'Exp PD'!B5</f>
        <v>0</v>
      </c>
    </row>
    <row r="6">
      <c r="A6">
        <v>2022</v>
      </c>
      <c r="B6">
        <f>'Premium Summary'!E6*0.11</f>
        <v>0</v>
      </c>
      <c r="C6">
        <v>632073</v>
      </c>
      <c r="D6">
        <v>355720</v>
      </c>
      <c r="E6">
        <f>'Exp PD'!C6*PricingULAE</f>
        <v>0</v>
      </c>
      <c r="F6">
        <f>('Exp PD'!C6+'Exp PD'!E6)/'Exp PD'!B6</f>
        <v>0</v>
      </c>
      <c r="G6">
        <f>[reserve-model.xlsx]'LDF Summary'!B3</f>
        <v>0</v>
      </c>
      <c r="H6">
        <f>('Exp PD'!C6+'Exp PD'!E6)*'Exp PD'!G6</f>
        <v>0</v>
      </c>
      <c r="I6">
        <f>'Exp PD'!H6/'Exp PD'!B6</f>
        <v>0</v>
      </c>
    </row>
    <row r="7">
      <c r="A7">
        <v>2023</v>
      </c>
      <c r="B7">
        <f>'Premium Summary'!E7*0.11</f>
        <v>0</v>
      </c>
      <c r="C7">
        <v>335259</v>
      </c>
      <c r="D7">
        <v>512859</v>
      </c>
      <c r="E7">
        <f>'Exp PD'!C7*PricingULAE</f>
        <v>0</v>
      </c>
      <c r="F7">
        <f>('Exp PD'!C7+'Exp PD'!E7)/'Exp PD'!B7</f>
        <v>0</v>
      </c>
      <c r="G7">
        <f>[reserve-model.xlsx]'LDF Summary'!B3</f>
        <v>0</v>
      </c>
      <c r="H7">
        <f>('Exp PD'!C7+'Exp PD'!E7)*'Exp PD'!G7</f>
        <v>0</v>
      </c>
      <c r="I7">
        <f>'Exp PD'!H7/'Exp PD'!B7</f>
        <v>0</v>
      </c>
    </row>
    <row r="8">
      <c r="A8">
        <v>2024</v>
      </c>
      <c r="B8">
        <f>'Premium Summary'!E8*0.11</f>
        <v>0</v>
      </c>
      <c r="C8">
        <v>791932</v>
      </c>
      <c r="D8">
        <v>346700</v>
      </c>
      <c r="E8">
        <f>'Exp PD'!C8*PricingULAE</f>
        <v>0</v>
      </c>
      <c r="F8">
        <f>('Exp PD'!C8+'Exp PD'!E8)/'Exp PD'!B8</f>
        <v>0</v>
      </c>
      <c r="G8">
        <f>[reserve-model.xlsx]'LDF Summary'!B3</f>
        <v>0</v>
      </c>
      <c r="H8">
        <f>('Exp PD'!C8+'Exp PD'!E8)*'Exp PD'!G8</f>
        <v>0</v>
      </c>
      <c r="I8">
        <f>'Exp PD'!H8/'Exp PD'!B8</f>
        <v>0</v>
      </c>
    </row>
    <row r="9">
      <c r="A9">
        <v>2025</v>
      </c>
      <c r="B9">
        <f>'Premium Summary'!E9*0.11</f>
        <v>0</v>
      </c>
      <c r="C9">
        <v>569316</v>
      </c>
      <c r="D9">
        <v>351315</v>
      </c>
      <c r="E9">
        <f>'Exp PD'!C9*PricingULAE</f>
        <v>0</v>
      </c>
      <c r="F9">
        <f>('Exp PD'!C9+'Exp PD'!E9)/'Exp PD'!B9</f>
        <v>0</v>
      </c>
      <c r="G9">
        <f>[reserve-model.xlsx]'LDF Summary'!B3</f>
        <v>0</v>
      </c>
      <c r="H9">
        <f>('Exp PD'!C9+'Exp PD'!E9)*'Exp PD'!G9</f>
        <v>0</v>
      </c>
      <c r="I9">
        <f>'Exp PD'!H9/'Exp PD'!B9</f>
        <v>0</v>
      </c>
    </row>
  </sheetData>
  <ignoredErrors>
    <ignoredError numberStoredAsText="1" sqref="A1:I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tr">
        <v>Rate Indication Calculation</v>
      </c>
      <c r="B1" t="str">
        <v>PD</v>
      </c>
    </row>
    <row r="2">
      <c r="A2" t="str">
        <v/>
      </c>
    </row>
    <row r="3">
      <c r="A3" t="str">
        <v>Step</v>
      </c>
      <c r="B3" t="str">
        <v>Description</v>
      </c>
      <c r="C3" t="str">
        <v>Value</v>
      </c>
      <c r="D3" t="str">
        <v>Source</v>
      </c>
    </row>
    <row r="4">
      <c r="A4">
        <v>1</v>
      </c>
      <c r="B4" t="str">
        <v>Historical Ult Loss Ratio</v>
      </c>
      <c r="C4">
        <f>AVERAGE('Exp PD'!I2:I9)</f>
        <v>0</v>
      </c>
    </row>
    <row r="5">
      <c r="A5">
        <v>2</v>
      </c>
      <c r="B5" t="str">
        <v>Credibility-Weighted LR</v>
      </c>
      <c r="C5">
        <f>'RI PD'!C4*CredZ+(1-CredZ)*CompLR</f>
        <v>0</v>
      </c>
    </row>
    <row r="6">
      <c r="A6">
        <v>3</v>
      </c>
      <c r="B6" t="str">
        <v>Trended Loss Ratio</v>
      </c>
      <c r="C6">
        <f>'RI PD'!C5*(1+LossTrend)^2</f>
        <v>0</v>
      </c>
    </row>
    <row r="7">
      <c r="A7">
        <v>4</v>
      </c>
      <c r="B7" t="str">
        <v>Loss + ULAE Ratio</v>
      </c>
      <c r="C7">
        <f>'RI PD'!C6+PricingULAE</f>
        <v>0</v>
      </c>
    </row>
    <row r="8">
      <c r="A8">
        <v>5</v>
      </c>
      <c r="B8" t="str">
        <v>Expense Ratio</v>
      </c>
      <c r="C8">
        <f>FixedExpense+VarExpense+ExpTrend</f>
        <v>0</v>
      </c>
    </row>
    <row r="9">
      <c r="A9">
        <v>6</v>
      </c>
      <c r="B9" t="str">
        <v>UW Profit Target</v>
      </c>
      <c r="C9">
        <f>ProfitLoad-InvCredit</f>
        <v>0</v>
      </c>
    </row>
    <row r="10">
      <c r="A10">
        <v>7</v>
      </c>
      <c r="B10" t="str">
        <v>Required Combined Ratio</v>
      </c>
      <c r="C10">
        <f>'RI PD'!C7+'RI PD'!C8+'RI PD'!C9+ReinsCostPct</f>
        <v>0</v>
      </c>
    </row>
    <row r="11">
      <c r="A11">
        <v>8</v>
      </c>
      <c r="B11" t="str">
        <v>Indicated Rate Change</v>
      </c>
      <c r="C11">
        <f>'RI PD'!C10-1</f>
        <v>0</v>
      </c>
    </row>
    <row r="12">
      <c r="A12">
        <v>9</v>
      </c>
      <c r="B12" t="str">
        <v>Capped Rate Change</v>
      </c>
      <c r="C12">
        <f>MIN(MAX('RI PD'!C11,RateFloorPct),RateCapPct)</f>
        <v>0</v>
      </c>
    </row>
  </sheetData>
  <ignoredErrors>
    <ignoredError numberStoredAsText="1" sqref="A1:D1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Data>
    <row r="1">
      <c r="A1" t="str">
        <v>Year</v>
      </c>
      <c r="B1" t="str">
        <v>Earned Prem</v>
      </c>
      <c r="C1" t="str">
        <v>Incurred Loss</v>
      </c>
      <c r="D1" t="str">
        <v>Paid Loss</v>
      </c>
      <c r="E1" t="str">
        <v>ALAE</v>
      </c>
      <c r="F1" t="str">
        <v>Loss Ratio</v>
      </c>
      <c r="G1" t="str">
        <v>Dev Factor</v>
      </c>
      <c r="H1" t="str">
        <v>Ult Loss</v>
      </c>
      <c r="I1" t="str">
        <v>Ult LR</v>
      </c>
    </row>
    <row r="2">
      <c r="A2">
        <v>2018</v>
      </c>
      <c r="B2">
        <f>'Premium Summary'!E2*0.12</f>
        <v>0</v>
      </c>
      <c r="C2">
        <v>450626</v>
      </c>
      <c r="D2">
        <v>609076</v>
      </c>
      <c r="E2">
        <f>'Exp Comp'!C2*PricingULAE</f>
        <v>0</v>
      </c>
      <c r="F2">
        <f>('Exp Comp'!C2+'Exp Comp'!E2)/'Exp Comp'!B2</f>
        <v>0</v>
      </c>
      <c r="G2">
        <f>[reserve-model.xlsx]'LDF Summary'!B4</f>
        <v>0</v>
      </c>
      <c r="H2">
        <f>('Exp Comp'!C2+'Exp Comp'!E2)*'Exp Comp'!G2</f>
        <v>0</v>
      </c>
      <c r="I2">
        <f>'Exp Comp'!H2/'Exp Comp'!B2</f>
        <v>0</v>
      </c>
    </row>
    <row r="3">
      <c r="A3">
        <v>2019</v>
      </c>
      <c r="B3">
        <f>'Premium Summary'!E3*0.12</f>
        <v>0</v>
      </c>
      <c r="C3">
        <v>403279</v>
      </c>
      <c r="D3">
        <v>379323</v>
      </c>
      <c r="E3">
        <f>'Exp Comp'!C3*PricingULAE</f>
        <v>0</v>
      </c>
      <c r="F3">
        <f>('Exp Comp'!C3+'Exp Comp'!E3)/'Exp Comp'!B3</f>
        <v>0</v>
      </c>
      <c r="G3">
        <f>[reserve-model.xlsx]'LDF Summary'!B4</f>
        <v>0</v>
      </c>
      <c r="H3">
        <f>('Exp Comp'!C3+'Exp Comp'!E3)*'Exp Comp'!G3</f>
        <v>0</v>
      </c>
      <c r="I3">
        <f>'Exp Comp'!H3/'Exp Comp'!B3</f>
        <v>0</v>
      </c>
    </row>
    <row r="4">
      <c r="A4">
        <v>2020</v>
      </c>
      <c r="B4">
        <f>'Premium Summary'!E4*0.12</f>
        <v>0</v>
      </c>
      <c r="C4">
        <v>553435</v>
      </c>
      <c r="D4">
        <v>337054</v>
      </c>
      <c r="E4">
        <f>'Exp Comp'!C4*PricingULAE</f>
        <v>0</v>
      </c>
      <c r="F4">
        <f>('Exp Comp'!C4+'Exp Comp'!E4)/'Exp Comp'!B4</f>
        <v>0</v>
      </c>
      <c r="G4">
        <f>[reserve-model.xlsx]'LDF Summary'!B4</f>
        <v>0</v>
      </c>
      <c r="H4">
        <f>('Exp Comp'!C4+'Exp Comp'!E4)*'Exp Comp'!G4</f>
        <v>0</v>
      </c>
      <c r="I4">
        <f>'Exp Comp'!H4/'Exp Comp'!B4</f>
        <v>0</v>
      </c>
    </row>
    <row r="5">
      <c r="A5">
        <v>2021</v>
      </c>
      <c r="B5">
        <f>'Premium Summary'!E5*0.12</f>
        <v>0</v>
      </c>
      <c r="C5">
        <v>662928</v>
      </c>
      <c r="D5">
        <v>427240</v>
      </c>
      <c r="E5">
        <f>'Exp Comp'!C5*PricingULAE</f>
        <v>0</v>
      </c>
      <c r="F5">
        <f>('Exp Comp'!C5+'Exp Comp'!E5)/'Exp Comp'!B5</f>
        <v>0</v>
      </c>
      <c r="G5">
        <f>[reserve-model.xlsx]'LDF Summary'!B4</f>
        <v>0</v>
      </c>
      <c r="H5">
        <f>('Exp Comp'!C5+'Exp Comp'!E5)*'Exp Comp'!G5</f>
        <v>0</v>
      </c>
      <c r="I5">
        <f>'Exp Comp'!H5/'Exp Comp'!B5</f>
        <v>0</v>
      </c>
    </row>
    <row r="6">
      <c r="A6">
        <v>2022</v>
      </c>
      <c r="B6">
        <f>'Premium Summary'!E6*0.12</f>
        <v>0</v>
      </c>
      <c r="C6">
        <v>303222</v>
      </c>
      <c r="D6">
        <v>325475</v>
      </c>
      <c r="E6">
        <f>'Exp Comp'!C6*PricingULAE</f>
        <v>0</v>
      </c>
      <c r="F6">
        <f>('Exp Comp'!C6+'Exp Comp'!E6)/'Exp Comp'!B6</f>
        <v>0</v>
      </c>
      <c r="G6">
        <f>[reserve-model.xlsx]'LDF Summary'!B4</f>
        <v>0</v>
      </c>
      <c r="H6">
        <f>('Exp Comp'!C6+'Exp Comp'!E6)*'Exp Comp'!G6</f>
        <v>0</v>
      </c>
      <c r="I6">
        <f>'Exp Comp'!H6/'Exp Comp'!B6</f>
        <v>0</v>
      </c>
    </row>
    <row r="7">
      <c r="A7">
        <v>2023</v>
      </c>
      <c r="B7">
        <f>'Premium Summary'!E7*0.12</f>
        <v>0</v>
      </c>
      <c r="C7">
        <v>383031</v>
      </c>
      <c r="D7">
        <v>442214</v>
      </c>
      <c r="E7">
        <f>'Exp Comp'!C7*PricingULAE</f>
        <v>0</v>
      </c>
      <c r="F7">
        <f>('Exp Comp'!C7+'Exp Comp'!E7)/'Exp Comp'!B7</f>
        <v>0</v>
      </c>
      <c r="G7">
        <f>[reserve-model.xlsx]'LDF Summary'!B4</f>
        <v>0</v>
      </c>
      <c r="H7">
        <f>('Exp Comp'!C7+'Exp Comp'!E7)*'Exp Comp'!G7</f>
        <v>0</v>
      </c>
      <c r="I7">
        <f>'Exp Comp'!H7/'Exp Comp'!B7</f>
        <v>0</v>
      </c>
    </row>
    <row r="8">
      <c r="A8">
        <v>2024</v>
      </c>
      <c r="B8">
        <f>'Premium Summary'!E8*0.12</f>
        <v>0</v>
      </c>
      <c r="C8">
        <v>323666</v>
      </c>
      <c r="D8">
        <v>622520</v>
      </c>
      <c r="E8">
        <f>'Exp Comp'!C8*PricingULAE</f>
        <v>0</v>
      </c>
      <c r="F8">
        <f>('Exp Comp'!C8+'Exp Comp'!E8)/'Exp Comp'!B8</f>
        <v>0</v>
      </c>
      <c r="G8">
        <f>[reserve-model.xlsx]'LDF Summary'!B4</f>
        <v>0</v>
      </c>
      <c r="H8">
        <f>('Exp Comp'!C8+'Exp Comp'!E8)*'Exp Comp'!G8</f>
        <v>0</v>
      </c>
      <c r="I8">
        <f>'Exp Comp'!H8/'Exp Comp'!B8</f>
        <v>0</v>
      </c>
    </row>
    <row r="9">
      <c r="A9">
        <v>2025</v>
      </c>
      <c r="B9">
        <f>'Premium Summary'!E9*0.12</f>
        <v>0</v>
      </c>
      <c r="C9">
        <v>592233</v>
      </c>
      <c r="D9">
        <v>323628</v>
      </c>
      <c r="E9">
        <f>'Exp Comp'!C9*PricingULAE</f>
        <v>0</v>
      </c>
      <c r="F9">
        <f>('Exp Comp'!C9+'Exp Comp'!E9)/'Exp Comp'!B9</f>
        <v>0</v>
      </c>
      <c r="G9">
        <f>[reserve-model.xlsx]'LDF Summary'!B4</f>
        <v>0</v>
      </c>
      <c r="H9">
        <f>('Exp Comp'!C9+'Exp Comp'!E9)*'Exp Comp'!G9</f>
        <v>0</v>
      </c>
      <c r="I9">
        <f>'Exp Comp'!H9/'Exp Comp'!B9</f>
        <v>0</v>
      </c>
    </row>
  </sheetData>
  <ignoredErrors>
    <ignoredError numberStoredAsText="1" sqref="A1:I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tr">
        <v>Rate Indication Calculation</v>
      </c>
      <c r="B1" t="str">
        <v>Comp</v>
      </c>
    </row>
    <row r="2">
      <c r="A2" t="str">
        <v/>
      </c>
    </row>
    <row r="3">
      <c r="A3" t="str">
        <v>Step</v>
      </c>
      <c r="B3" t="str">
        <v>Description</v>
      </c>
      <c r="C3" t="str">
        <v>Value</v>
      </c>
      <c r="D3" t="str">
        <v>Source</v>
      </c>
    </row>
    <row r="4">
      <c r="A4">
        <v>1</v>
      </c>
      <c r="B4" t="str">
        <v>Historical Ult Loss Ratio</v>
      </c>
      <c r="C4">
        <f>AVERAGE('Exp Comp'!I2:I9)</f>
        <v>0</v>
      </c>
    </row>
    <row r="5">
      <c r="A5">
        <v>2</v>
      </c>
      <c r="B5" t="str">
        <v>Credibility-Weighted LR</v>
      </c>
      <c r="C5">
        <f>'RI Comp'!C4*CredZ+(1-CredZ)*CompLR</f>
        <v>0</v>
      </c>
    </row>
    <row r="6">
      <c r="A6">
        <v>3</v>
      </c>
      <c r="B6" t="str">
        <v>Trended Loss Ratio</v>
      </c>
      <c r="C6">
        <f>'RI Comp'!C5*(1+LossTrend)^2</f>
        <v>0</v>
      </c>
    </row>
    <row r="7">
      <c r="A7">
        <v>4</v>
      </c>
      <c r="B7" t="str">
        <v>Loss + ULAE Ratio</v>
      </c>
      <c r="C7">
        <f>'RI Comp'!C6+PricingULAE</f>
        <v>0</v>
      </c>
    </row>
    <row r="8">
      <c r="A8">
        <v>5</v>
      </c>
      <c r="B8" t="str">
        <v>Expense Ratio</v>
      </c>
      <c r="C8">
        <f>FixedExpense+VarExpense+ExpTrend</f>
        <v>0</v>
      </c>
    </row>
    <row r="9">
      <c r="A9">
        <v>6</v>
      </c>
      <c r="B9" t="str">
        <v>UW Profit Target</v>
      </c>
      <c r="C9">
        <f>ProfitLoad-InvCredit</f>
        <v>0</v>
      </c>
    </row>
    <row r="10">
      <c r="A10">
        <v>7</v>
      </c>
      <c r="B10" t="str">
        <v>Required Combined Ratio</v>
      </c>
      <c r="C10">
        <f>'RI Comp'!C7+'RI Comp'!C8+'RI Comp'!C9+ReinsCostPct</f>
        <v>0</v>
      </c>
    </row>
    <row r="11">
      <c r="A11">
        <v>8</v>
      </c>
      <c r="B11" t="str">
        <v>Indicated Rate Change</v>
      </c>
      <c r="C11">
        <f>'RI Comp'!C10-1</f>
        <v>0</v>
      </c>
    </row>
    <row r="12">
      <c r="A12">
        <v>9</v>
      </c>
      <c r="B12" t="str">
        <v>Capped Rate Change</v>
      </c>
      <c r="C12">
        <f>MIN(MAX('RI Comp'!C11,RateFloorPct),RateCapPct)</f>
        <v>0</v>
      </c>
    </row>
  </sheetData>
  <ignoredErrors>
    <ignoredError numberStoredAsText="1" sqref="A1:D1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Data>
    <row r="1">
      <c r="A1" t="str">
        <v>Year</v>
      </c>
      <c r="B1" t="str">
        <v>Earned Prem</v>
      </c>
      <c r="C1" t="str">
        <v>Incurred Loss</v>
      </c>
      <c r="D1" t="str">
        <v>Paid Loss</v>
      </c>
      <c r="E1" t="str">
        <v>ALAE</v>
      </c>
      <c r="F1" t="str">
        <v>Loss Ratio</v>
      </c>
      <c r="G1" t="str">
        <v>Dev Factor</v>
      </c>
      <c r="H1" t="str">
        <v>Ult Loss</v>
      </c>
      <c r="I1" t="str">
        <v>Ult LR</v>
      </c>
    </row>
    <row r="2">
      <c r="A2">
        <v>2018</v>
      </c>
      <c r="B2">
        <f>'Premium Summary'!E2*0.13</f>
        <v>0</v>
      </c>
      <c r="C2">
        <v>563301</v>
      </c>
      <c r="D2">
        <v>275434</v>
      </c>
      <c r="E2">
        <f>'Exp Coll'!C2*PricingULAE</f>
        <v>0</v>
      </c>
      <c r="F2">
        <f>('Exp Coll'!C2+'Exp Coll'!E2)/'Exp Coll'!B2</f>
        <v>0</v>
      </c>
      <c r="G2">
        <f>[reserve-model.xlsx]'LDF Summary'!B5</f>
        <v>0</v>
      </c>
      <c r="H2">
        <f>('Exp Coll'!C2+'Exp Coll'!E2)*'Exp Coll'!G2</f>
        <v>0</v>
      </c>
      <c r="I2">
        <f>'Exp Coll'!H2/'Exp Coll'!B2</f>
        <v>0</v>
      </c>
    </row>
    <row r="3">
      <c r="A3">
        <v>2019</v>
      </c>
      <c r="B3">
        <f>'Premium Summary'!E3*0.13</f>
        <v>0</v>
      </c>
      <c r="C3">
        <v>423067</v>
      </c>
      <c r="D3">
        <v>402655</v>
      </c>
      <c r="E3">
        <f>'Exp Coll'!C3*PricingULAE</f>
        <v>0</v>
      </c>
      <c r="F3">
        <f>('Exp Coll'!C3+'Exp Coll'!E3)/'Exp Coll'!B3</f>
        <v>0</v>
      </c>
      <c r="G3">
        <f>[reserve-model.xlsx]'LDF Summary'!B5</f>
        <v>0</v>
      </c>
      <c r="H3">
        <f>('Exp Coll'!C3+'Exp Coll'!E3)*'Exp Coll'!G3</f>
        <v>0</v>
      </c>
      <c r="I3">
        <f>'Exp Coll'!H3/'Exp Coll'!B3</f>
        <v>0</v>
      </c>
    </row>
    <row r="4">
      <c r="A4">
        <v>2020</v>
      </c>
      <c r="B4">
        <f>'Premium Summary'!E4*0.13</f>
        <v>0</v>
      </c>
      <c r="C4">
        <v>611154</v>
      </c>
      <c r="D4">
        <v>445474</v>
      </c>
      <c r="E4">
        <f>'Exp Coll'!C4*PricingULAE</f>
        <v>0</v>
      </c>
      <c r="F4">
        <f>('Exp Coll'!C4+'Exp Coll'!E4)/'Exp Coll'!B4</f>
        <v>0</v>
      </c>
      <c r="G4">
        <f>[reserve-model.xlsx]'LDF Summary'!B5</f>
        <v>0</v>
      </c>
      <c r="H4">
        <f>('Exp Coll'!C4+'Exp Coll'!E4)*'Exp Coll'!G4</f>
        <v>0</v>
      </c>
      <c r="I4">
        <f>'Exp Coll'!H4/'Exp Coll'!B4</f>
        <v>0</v>
      </c>
    </row>
    <row r="5">
      <c r="A5">
        <v>2021</v>
      </c>
      <c r="B5">
        <f>'Premium Summary'!E5*0.13</f>
        <v>0</v>
      </c>
      <c r="C5">
        <v>728388</v>
      </c>
      <c r="D5">
        <v>314453</v>
      </c>
      <c r="E5">
        <f>'Exp Coll'!C5*PricingULAE</f>
        <v>0</v>
      </c>
      <c r="F5">
        <f>('Exp Coll'!C5+'Exp Coll'!E5)/'Exp Coll'!B5</f>
        <v>0</v>
      </c>
      <c r="G5">
        <f>[reserve-model.xlsx]'LDF Summary'!B5</f>
        <v>0</v>
      </c>
      <c r="H5">
        <f>('Exp Coll'!C5+'Exp Coll'!E5)*'Exp Coll'!G5</f>
        <v>0</v>
      </c>
      <c r="I5">
        <f>'Exp Coll'!H5/'Exp Coll'!B5</f>
        <v>0</v>
      </c>
    </row>
    <row r="6">
      <c r="A6">
        <v>2022</v>
      </c>
      <c r="B6">
        <f>'Premium Summary'!E6*0.13</f>
        <v>0</v>
      </c>
      <c r="C6">
        <v>392133</v>
      </c>
      <c r="D6">
        <v>387315</v>
      </c>
      <c r="E6">
        <f>'Exp Coll'!C6*PricingULAE</f>
        <v>0</v>
      </c>
      <c r="F6">
        <f>('Exp Coll'!C6+'Exp Coll'!E6)/'Exp Coll'!B6</f>
        <v>0</v>
      </c>
      <c r="G6">
        <f>[reserve-model.xlsx]'LDF Summary'!B5</f>
        <v>0</v>
      </c>
      <c r="H6">
        <f>('Exp Coll'!C6+'Exp Coll'!E6)*'Exp Coll'!G6</f>
        <v>0</v>
      </c>
      <c r="I6">
        <f>'Exp Coll'!H6/'Exp Coll'!B6</f>
        <v>0</v>
      </c>
    </row>
    <row r="7">
      <c r="A7">
        <v>2023</v>
      </c>
      <c r="B7">
        <f>'Premium Summary'!E7*0.13</f>
        <v>0</v>
      </c>
      <c r="C7">
        <v>682304</v>
      </c>
      <c r="D7">
        <v>628711</v>
      </c>
      <c r="E7">
        <f>'Exp Coll'!C7*PricingULAE</f>
        <v>0</v>
      </c>
      <c r="F7">
        <f>('Exp Coll'!C7+'Exp Coll'!E7)/'Exp Coll'!B7</f>
        <v>0</v>
      </c>
      <c r="G7">
        <f>[reserve-model.xlsx]'LDF Summary'!B5</f>
        <v>0</v>
      </c>
      <c r="H7">
        <f>('Exp Coll'!C7+'Exp Coll'!E7)*'Exp Coll'!G7</f>
        <v>0</v>
      </c>
      <c r="I7">
        <f>'Exp Coll'!H7/'Exp Coll'!B7</f>
        <v>0</v>
      </c>
    </row>
    <row r="8">
      <c r="A8">
        <v>2024</v>
      </c>
      <c r="B8">
        <f>'Premium Summary'!E8*0.13</f>
        <v>0</v>
      </c>
      <c r="C8">
        <v>407176</v>
      </c>
      <c r="D8">
        <v>310411</v>
      </c>
      <c r="E8">
        <f>'Exp Coll'!C8*PricingULAE</f>
        <v>0</v>
      </c>
      <c r="F8">
        <f>('Exp Coll'!C8+'Exp Coll'!E8)/'Exp Coll'!B8</f>
        <v>0</v>
      </c>
      <c r="G8">
        <f>[reserve-model.xlsx]'LDF Summary'!B5</f>
        <v>0</v>
      </c>
      <c r="H8">
        <f>('Exp Coll'!C8+'Exp Coll'!E8)*'Exp Coll'!G8</f>
        <v>0</v>
      </c>
      <c r="I8">
        <f>'Exp Coll'!H8/'Exp Coll'!B8</f>
        <v>0</v>
      </c>
    </row>
    <row r="9">
      <c r="A9">
        <v>2025</v>
      </c>
      <c r="B9">
        <f>'Premium Summary'!E9*0.13</f>
        <v>0</v>
      </c>
      <c r="C9">
        <v>535681</v>
      </c>
      <c r="D9">
        <v>283168</v>
      </c>
      <c r="E9">
        <f>'Exp Coll'!C9*PricingULAE</f>
        <v>0</v>
      </c>
      <c r="F9">
        <f>('Exp Coll'!C9+'Exp Coll'!E9)/'Exp Coll'!B9</f>
        <v>0</v>
      </c>
      <c r="G9">
        <f>[reserve-model.xlsx]'LDF Summary'!B5</f>
        <v>0</v>
      </c>
      <c r="H9">
        <f>('Exp Coll'!C9+'Exp Coll'!E9)*'Exp Coll'!G9</f>
        <v>0</v>
      </c>
      <c r="I9">
        <f>'Exp Coll'!H9/'Exp Coll'!B9</f>
        <v>0</v>
      </c>
    </row>
  </sheetData>
  <ignoredErrors>
    <ignoredError numberStoredAsText="1" sqref="A1:I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tr">
        <v>Rate Indication Calculation</v>
      </c>
      <c r="B1" t="str">
        <v>Coll</v>
      </c>
    </row>
    <row r="2">
      <c r="A2" t="str">
        <v/>
      </c>
    </row>
    <row r="3">
      <c r="A3" t="str">
        <v>Step</v>
      </c>
      <c r="B3" t="str">
        <v>Description</v>
      </c>
      <c r="C3" t="str">
        <v>Value</v>
      </c>
      <c r="D3" t="str">
        <v>Source</v>
      </c>
    </row>
    <row r="4">
      <c r="A4">
        <v>1</v>
      </c>
      <c r="B4" t="str">
        <v>Historical Ult Loss Ratio</v>
      </c>
      <c r="C4">
        <f>AVERAGE('Exp Coll'!I2:I9)</f>
        <v>0</v>
      </c>
    </row>
    <row r="5">
      <c r="A5">
        <v>2</v>
      </c>
      <c r="B5" t="str">
        <v>Credibility-Weighted LR</v>
      </c>
      <c r="C5">
        <f>'RI Coll'!C4*CredZ+(1-CredZ)*CompLR</f>
        <v>0</v>
      </c>
    </row>
    <row r="6">
      <c r="A6">
        <v>3</v>
      </c>
      <c r="B6" t="str">
        <v>Trended Loss Ratio</v>
      </c>
      <c r="C6">
        <f>'RI Coll'!C5*(1+LossTrend)^2</f>
        <v>0</v>
      </c>
    </row>
    <row r="7">
      <c r="A7">
        <v>4</v>
      </c>
      <c r="B7" t="str">
        <v>Loss + ULAE Ratio</v>
      </c>
      <c r="C7">
        <f>'RI Coll'!C6+PricingULAE</f>
        <v>0</v>
      </c>
    </row>
    <row r="8">
      <c r="A8">
        <v>5</v>
      </c>
      <c r="B8" t="str">
        <v>Expense Ratio</v>
      </c>
      <c r="C8">
        <f>FixedExpense+VarExpense+ExpTrend</f>
        <v>0</v>
      </c>
    </row>
    <row r="9">
      <c r="A9">
        <v>6</v>
      </c>
      <c r="B9" t="str">
        <v>UW Profit Target</v>
      </c>
      <c r="C9">
        <f>ProfitLoad-InvCredit</f>
        <v>0</v>
      </c>
    </row>
    <row r="10">
      <c r="A10">
        <v>7</v>
      </c>
      <c r="B10" t="str">
        <v>Required Combined Ratio</v>
      </c>
      <c r="C10">
        <f>'RI Coll'!C7+'RI Coll'!C8+'RI Coll'!C9+ReinsCostPct</f>
        <v>0</v>
      </c>
    </row>
    <row r="11">
      <c r="A11">
        <v>8</v>
      </c>
      <c r="B11" t="str">
        <v>Indicated Rate Change</v>
      </c>
      <c r="C11">
        <f>'RI Coll'!C10-1</f>
        <v>0</v>
      </c>
    </row>
    <row r="12">
      <c r="A12">
        <v>9</v>
      </c>
      <c r="B12" t="str">
        <v>Capped Rate Change</v>
      </c>
      <c r="C12">
        <f>MIN(MAX('RI Coll'!C11,RateFloorPct),RateCapPct)</f>
        <v>0</v>
      </c>
    </row>
  </sheetData>
  <ignoredErrors>
    <ignoredError numberStoredAsText="1" sqref="A1:D1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Data>
    <row r="1">
      <c r="A1" t="str">
        <v>Year</v>
      </c>
      <c r="B1" t="str">
        <v>Earned Prem</v>
      </c>
      <c r="C1" t="str">
        <v>Incurred Loss</v>
      </c>
      <c r="D1" t="str">
        <v>Paid Loss</v>
      </c>
      <c r="E1" t="str">
        <v>ALAE</v>
      </c>
      <c r="F1" t="str">
        <v>Loss Ratio</v>
      </c>
      <c r="G1" t="str">
        <v>Dev Factor</v>
      </c>
      <c r="H1" t="str">
        <v>Ult Loss</v>
      </c>
      <c r="I1" t="str">
        <v>Ult LR</v>
      </c>
    </row>
    <row r="2">
      <c r="A2">
        <v>2018</v>
      </c>
      <c r="B2">
        <f>'Premium Summary'!E2*0.14</f>
        <v>0</v>
      </c>
      <c r="C2">
        <v>473873</v>
      </c>
      <c r="D2">
        <v>428366</v>
      </c>
      <c r="E2">
        <f>'Exp UM'!C2*PricingULAE</f>
        <v>0</v>
      </c>
      <c r="F2">
        <f>('Exp UM'!C2+'Exp UM'!E2)/'Exp UM'!B2</f>
        <v>0</v>
      </c>
      <c r="G2">
        <f>[reserve-model.xlsx]'LDF Summary'!B6</f>
        <v>0</v>
      </c>
      <c r="H2">
        <f>('Exp UM'!C2+'Exp UM'!E2)*'Exp UM'!G2</f>
        <v>0</v>
      </c>
      <c r="I2">
        <f>'Exp UM'!H2/'Exp UM'!B2</f>
        <v>0</v>
      </c>
    </row>
    <row r="3">
      <c r="A3">
        <v>2019</v>
      </c>
      <c r="B3">
        <f>'Premium Summary'!E3*0.14</f>
        <v>0</v>
      </c>
      <c r="C3">
        <v>454638</v>
      </c>
      <c r="D3">
        <v>616065</v>
      </c>
      <c r="E3">
        <f>'Exp UM'!C3*PricingULAE</f>
        <v>0</v>
      </c>
      <c r="F3">
        <f>('Exp UM'!C3+'Exp UM'!E3)/'Exp UM'!B3</f>
        <v>0</v>
      </c>
      <c r="G3">
        <f>[reserve-model.xlsx]'LDF Summary'!B6</f>
        <v>0</v>
      </c>
      <c r="H3">
        <f>('Exp UM'!C3+'Exp UM'!E3)*'Exp UM'!G3</f>
        <v>0</v>
      </c>
      <c r="I3">
        <f>'Exp UM'!H3/'Exp UM'!B3</f>
        <v>0</v>
      </c>
    </row>
    <row r="4">
      <c r="A4">
        <v>2020</v>
      </c>
      <c r="B4">
        <f>'Premium Summary'!E4*0.14</f>
        <v>0</v>
      </c>
      <c r="C4">
        <v>449086</v>
      </c>
      <c r="D4">
        <v>391876</v>
      </c>
      <c r="E4">
        <f>'Exp UM'!C4*PricingULAE</f>
        <v>0</v>
      </c>
      <c r="F4">
        <f>('Exp UM'!C4+'Exp UM'!E4)/'Exp UM'!B4</f>
        <v>0</v>
      </c>
      <c r="G4">
        <f>[reserve-model.xlsx]'LDF Summary'!B6</f>
        <v>0</v>
      </c>
      <c r="H4">
        <f>('Exp UM'!C4+'Exp UM'!E4)*'Exp UM'!G4</f>
        <v>0</v>
      </c>
      <c r="I4">
        <f>'Exp UM'!H4/'Exp UM'!B4</f>
        <v>0</v>
      </c>
    </row>
    <row r="5">
      <c r="A5">
        <v>2021</v>
      </c>
      <c r="B5">
        <f>'Premium Summary'!E5*0.14</f>
        <v>0</v>
      </c>
      <c r="C5">
        <v>588244</v>
      </c>
      <c r="D5">
        <v>490741</v>
      </c>
      <c r="E5">
        <f>'Exp UM'!C5*PricingULAE</f>
        <v>0</v>
      </c>
      <c r="F5">
        <f>('Exp UM'!C5+'Exp UM'!E5)/'Exp UM'!B5</f>
        <v>0</v>
      </c>
      <c r="G5">
        <f>[reserve-model.xlsx]'LDF Summary'!B6</f>
        <v>0</v>
      </c>
      <c r="H5">
        <f>('Exp UM'!C5+'Exp UM'!E5)*'Exp UM'!G5</f>
        <v>0</v>
      </c>
      <c r="I5">
        <f>'Exp UM'!H5/'Exp UM'!B5</f>
        <v>0</v>
      </c>
    </row>
    <row r="6">
      <c r="A6">
        <v>2022</v>
      </c>
      <c r="B6">
        <f>'Premium Summary'!E6*0.14</f>
        <v>0</v>
      </c>
      <c r="C6">
        <v>593645</v>
      </c>
      <c r="D6">
        <v>282105</v>
      </c>
      <c r="E6">
        <f>'Exp UM'!C6*PricingULAE</f>
        <v>0</v>
      </c>
      <c r="F6">
        <f>('Exp UM'!C6+'Exp UM'!E6)/'Exp UM'!B6</f>
        <v>0</v>
      </c>
      <c r="G6">
        <f>[reserve-model.xlsx]'LDF Summary'!B6</f>
        <v>0</v>
      </c>
      <c r="H6">
        <f>('Exp UM'!C6+'Exp UM'!E6)*'Exp UM'!G6</f>
        <v>0</v>
      </c>
      <c r="I6">
        <f>'Exp UM'!H6/'Exp UM'!B6</f>
        <v>0</v>
      </c>
    </row>
    <row r="7">
      <c r="A7">
        <v>2023</v>
      </c>
      <c r="B7">
        <f>'Premium Summary'!E7*0.14</f>
        <v>0</v>
      </c>
      <c r="C7">
        <v>398764</v>
      </c>
      <c r="D7">
        <v>367344</v>
      </c>
      <c r="E7">
        <f>'Exp UM'!C7*PricingULAE</f>
        <v>0</v>
      </c>
      <c r="F7">
        <f>('Exp UM'!C7+'Exp UM'!E7)/'Exp UM'!B7</f>
        <v>0</v>
      </c>
      <c r="G7">
        <f>[reserve-model.xlsx]'LDF Summary'!B6</f>
        <v>0</v>
      </c>
      <c r="H7">
        <f>('Exp UM'!C7+'Exp UM'!E7)*'Exp UM'!G7</f>
        <v>0</v>
      </c>
      <c r="I7">
        <f>'Exp UM'!H7/'Exp UM'!B7</f>
        <v>0</v>
      </c>
    </row>
    <row r="8">
      <c r="A8">
        <v>2024</v>
      </c>
      <c r="B8">
        <f>'Premium Summary'!E8*0.14</f>
        <v>0</v>
      </c>
      <c r="C8">
        <v>751222</v>
      </c>
      <c r="D8">
        <v>531652</v>
      </c>
      <c r="E8">
        <f>'Exp UM'!C8*PricingULAE</f>
        <v>0</v>
      </c>
      <c r="F8">
        <f>('Exp UM'!C8+'Exp UM'!E8)/'Exp UM'!B8</f>
        <v>0</v>
      </c>
      <c r="G8">
        <f>[reserve-model.xlsx]'LDF Summary'!B6</f>
        <v>0</v>
      </c>
      <c r="H8">
        <f>('Exp UM'!C8+'Exp UM'!E8)*'Exp UM'!G8</f>
        <v>0</v>
      </c>
      <c r="I8">
        <f>'Exp UM'!H8/'Exp UM'!B8</f>
        <v>0</v>
      </c>
    </row>
    <row r="9">
      <c r="A9">
        <v>2025</v>
      </c>
      <c r="B9">
        <f>'Premium Summary'!E9*0.14</f>
        <v>0</v>
      </c>
      <c r="C9">
        <v>503863</v>
      </c>
      <c r="D9">
        <v>492394</v>
      </c>
      <c r="E9">
        <f>'Exp UM'!C9*PricingULAE</f>
        <v>0</v>
      </c>
      <c r="F9">
        <f>('Exp UM'!C9+'Exp UM'!E9)/'Exp UM'!B9</f>
        <v>0</v>
      </c>
      <c r="G9">
        <f>[reserve-model.xlsx]'LDF Summary'!B6</f>
        <v>0</v>
      </c>
      <c r="H9">
        <f>('Exp UM'!C9+'Exp UM'!E9)*'Exp UM'!G9</f>
        <v>0</v>
      </c>
      <c r="I9">
        <f>'Exp UM'!H9/'Exp UM'!B9</f>
        <v>0</v>
      </c>
    </row>
  </sheetData>
  <ignoredErrors>
    <ignoredError numberStoredAsText="1" sqref="A1:I9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tr">
        <v>Rate Indication Calculation</v>
      </c>
      <c r="B1" t="str">
        <v>UM</v>
      </c>
    </row>
    <row r="2">
      <c r="A2" t="str">
        <v/>
      </c>
    </row>
    <row r="3">
      <c r="A3" t="str">
        <v>Step</v>
      </c>
      <c r="B3" t="str">
        <v>Description</v>
      </c>
      <c r="C3" t="str">
        <v>Value</v>
      </c>
      <c r="D3" t="str">
        <v>Source</v>
      </c>
    </row>
    <row r="4">
      <c r="A4">
        <v>1</v>
      </c>
      <c r="B4" t="str">
        <v>Historical Ult Loss Ratio</v>
      </c>
      <c r="C4">
        <f>AVERAGE('Exp UM'!I2:I9)</f>
        <v>0</v>
      </c>
    </row>
    <row r="5">
      <c r="A5">
        <v>2</v>
      </c>
      <c r="B5" t="str">
        <v>Credibility-Weighted LR</v>
      </c>
      <c r="C5">
        <f>'RI UM'!C4*CredZ+(1-CredZ)*CompLR</f>
        <v>0</v>
      </c>
    </row>
    <row r="6">
      <c r="A6">
        <v>3</v>
      </c>
      <c r="B6" t="str">
        <v>Trended Loss Ratio</v>
      </c>
      <c r="C6">
        <f>'RI UM'!C5*(1+LossTrend)^2</f>
        <v>0</v>
      </c>
    </row>
    <row r="7">
      <c r="A7">
        <v>4</v>
      </c>
      <c r="B7" t="str">
        <v>Loss + ULAE Ratio</v>
      </c>
      <c r="C7">
        <f>'RI UM'!C6+PricingULAE</f>
        <v>0</v>
      </c>
    </row>
    <row r="8">
      <c r="A8">
        <v>5</v>
      </c>
      <c r="B8" t="str">
        <v>Expense Ratio</v>
      </c>
      <c r="C8">
        <f>FixedExpense+VarExpense+ExpTrend</f>
        <v>0</v>
      </c>
    </row>
    <row r="9">
      <c r="A9">
        <v>6</v>
      </c>
      <c r="B9" t="str">
        <v>UW Profit Target</v>
      </c>
      <c r="C9">
        <f>ProfitLoad-InvCredit</f>
        <v>0</v>
      </c>
    </row>
    <row r="10">
      <c r="A10">
        <v>7</v>
      </c>
      <c r="B10" t="str">
        <v>Required Combined Ratio</v>
      </c>
      <c r="C10">
        <f>'RI UM'!C7+'RI UM'!C8+'RI UM'!C9+ReinsCostPct</f>
        <v>0</v>
      </c>
    </row>
    <row r="11">
      <c r="A11">
        <v>8</v>
      </c>
      <c r="B11" t="str">
        <v>Indicated Rate Change</v>
      </c>
      <c r="C11">
        <f>'RI UM'!C10-1</f>
        <v>0</v>
      </c>
    </row>
    <row r="12">
      <c r="A12">
        <v>9</v>
      </c>
      <c r="B12" t="str">
        <v>Capped Rate Change</v>
      </c>
      <c r="C12">
        <f>MIN(MAX('RI UM'!C11,RateFloorPct),RateCapPct)</f>
        <v>0</v>
      </c>
    </row>
  </sheetData>
  <ignoredErrors>
    <ignoredError numberStoredAsText="1" sqref="A1:D1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Data>
    <row r="1">
      <c r="A1" t="str">
        <v>Year</v>
      </c>
      <c r="B1" t="str">
        <v>Earned Prem</v>
      </c>
      <c r="C1" t="str">
        <v>Incurred Loss</v>
      </c>
      <c r="D1" t="str">
        <v>Paid Loss</v>
      </c>
      <c r="E1" t="str">
        <v>ALAE</v>
      </c>
      <c r="F1" t="str">
        <v>Loss Ratio</v>
      </c>
      <c r="G1" t="str">
        <v>Dev Factor</v>
      </c>
      <c r="H1" t="str">
        <v>Ult Loss</v>
      </c>
      <c r="I1" t="str">
        <v>Ult LR</v>
      </c>
    </row>
    <row r="2">
      <c r="A2">
        <v>2018</v>
      </c>
      <c r="B2">
        <f>'Premium Summary'!E2*0.15</f>
        <v>0</v>
      </c>
      <c r="C2">
        <v>549872</v>
      </c>
      <c r="D2">
        <v>619404</v>
      </c>
      <c r="E2">
        <f>'Exp UIM'!C2*PricingULAE</f>
        <v>0</v>
      </c>
      <c r="F2">
        <f>('Exp UIM'!C2+'Exp UIM'!E2)/'Exp UIM'!B2</f>
        <v>0</v>
      </c>
      <c r="G2">
        <f>[reserve-model.xlsx]'LDF Summary'!B7</f>
        <v>0</v>
      </c>
      <c r="H2">
        <f>('Exp UIM'!C2+'Exp UIM'!E2)*'Exp UIM'!G2</f>
        <v>0</v>
      </c>
      <c r="I2">
        <f>'Exp UIM'!H2/'Exp UIM'!B2</f>
        <v>0</v>
      </c>
    </row>
    <row r="3">
      <c r="A3">
        <v>2019</v>
      </c>
      <c r="B3">
        <f>'Premium Summary'!E3*0.15</f>
        <v>0</v>
      </c>
      <c r="C3">
        <v>618673</v>
      </c>
      <c r="D3">
        <v>490393</v>
      </c>
      <c r="E3">
        <f>'Exp UIM'!C3*PricingULAE</f>
        <v>0</v>
      </c>
      <c r="F3">
        <f>('Exp UIM'!C3+'Exp UIM'!E3)/'Exp UIM'!B3</f>
        <v>0</v>
      </c>
      <c r="G3">
        <f>[reserve-model.xlsx]'LDF Summary'!B7</f>
        <v>0</v>
      </c>
      <c r="H3">
        <f>('Exp UIM'!C3+'Exp UIM'!E3)*'Exp UIM'!G3</f>
        <v>0</v>
      </c>
      <c r="I3">
        <f>'Exp UIM'!H3/'Exp UIM'!B3</f>
        <v>0</v>
      </c>
    </row>
    <row r="4">
      <c r="A4">
        <v>2020</v>
      </c>
      <c r="B4">
        <f>'Premium Summary'!E4*0.15</f>
        <v>0</v>
      </c>
      <c r="C4">
        <v>313811</v>
      </c>
      <c r="D4">
        <v>512106</v>
      </c>
      <c r="E4">
        <f>'Exp UIM'!C4*PricingULAE</f>
        <v>0</v>
      </c>
      <c r="F4">
        <f>('Exp UIM'!C4+'Exp UIM'!E4)/'Exp UIM'!B4</f>
        <v>0</v>
      </c>
      <c r="G4">
        <f>[reserve-model.xlsx]'LDF Summary'!B7</f>
        <v>0</v>
      </c>
      <c r="H4">
        <f>('Exp UIM'!C4+'Exp UIM'!E4)*'Exp UIM'!G4</f>
        <v>0</v>
      </c>
      <c r="I4">
        <f>'Exp UIM'!H4/'Exp UIM'!B4</f>
        <v>0</v>
      </c>
    </row>
    <row r="5">
      <c r="A5">
        <v>2021</v>
      </c>
      <c r="B5">
        <f>'Premium Summary'!E5*0.15</f>
        <v>0</v>
      </c>
      <c r="C5">
        <v>621374</v>
      </c>
      <c r="D5">
        <v>274992</v>
      </c>
      <c r="E5">
        <f>'Exp UIM'!C5*PricingULAE</f>
        <v>0</v>
      </c>
      <c r="F5">
        <f>('Exp UIM'!C5+'Exp UIM'!E5)/'Exp UIM'!B5</f>
        <v>0</v>
      </c>
      <c r="G5">
        <f>[reserve-model.xlsx]'LDF Summary'!B7</f>
        <v>0</v>
      </c>
      <c r="H5">
        <f>('Exp UIM'!C5+'Exp UIM'!E5)*'Exp UIM'!G5</f>
        <v>0</v>
      </c>
      <c r="I5">
        <f>'Exp UIM'!H5/'Exp UIM'!B5</f>
        <v>0</v>
      </c>
    </row>
    <row r="6">
      <c r="A6">
        <v>2022</v>
      </c>
      <c r="B6">
        <f>'Premium Summary'!E6*0.15</f>
        <v>0</v>
      </c>
      <c r="C6">
        <v>582561</v>
      </c>
      <c r="D6">
        <v>344093</v>
      </c>
      <c r="E6">
        <f>'Exp UIM'!C6*PricingULAE</f>
        <v>0</v>
      </c>
      <c r="F6">
        <f>('Exp UIM'!C6+'Exp UIM'!E6)/'Exp UIM'!B6</f>
        <v>0</v>
      </c>
      <c r="G6">
        <f>[reserve-model.xlsx]'LDF Summary'!B7</f>
        <v>0</v>
      </c>
      <c r="H6">
        <f>('Exp UIM'!C6+'Exp UIM'!E6)*'Exp UIM'!G6</f>
        <v>0</v>
      </c>
      <c r="I6">
        <f>'Exp UIM'!H6/'Exp UIM'!B6</f>
        <v>0</v>
      </c>
    </row>
    <row r="7">
      <c r="A7">
        <v>2023</v>
      </c>
      <c r="B7">
        <f>'Premium Summary'!E7*0.15</f>
        <v>0</v>
      </c>
      <c r="C7">
        <v>317152</v>
      </c>
      <c r="D7">
        <v>394479</v>
      </c>
      <c r="E7">
        <f>'Exp UIM'!C7*PricingULAE</f>
        <v>0</v>
      </c>
      <c r="F7">
        <f>('Exp UIM'!C7+'Exp UIM'!E7)/'Exp UIM'!B7</f>
        <v>0</v>
      </c>
      <c r="G7">
        <f>[reserve-model.xlsx]'LDF Summary'!B7</f>
        <v>0</v>
      </c>
      <c r="H7">
        <f>('Exp UIM'!C7+'Exp UIM'!E7)*'Exp UIM'!G7</f>
        <v>0</v>
      </c>
      <c r="I7">
        <f>'Exp UIM'!H7/'Exp UIM'!B7</f>
        <v>0</v>
      </c>
    </row>
    <row r="8">
      <c r="A8">
        <v>2024</v>
      </c>
      <c r="B8">
        <f>'Premium Summary'!E8*0.15</f>
        <v>0</v>
      </c>
      <c r="C8">
        <v>357552</v>
      </c>
      <c r="D8">
        <v>323162</v>
      </c>
      <c r="E8">
        <f>'Exp UIM'!C8*PricingULAE</f>
        <v>0</v>
      </c>
      <c r="F8">
        <f>('Exp UIM'!C8+'Exp UIM'!E8)/'Exp UIM'!B8</f>
        <v>0</v>
      </c>
      <c r="G8">
        <f>[reserve-model.xlsx]'LDF Summary'!B7</f>
        <v>0</v>
      </c>
      <c r="H8">
        <f>('Exp UIM'!C8+'Exp UIM'!E8)*'Exp UIM'!G8</f>
        <v>0</v>
      </c>
      <c r="I8">
        <f>'Exp UIM'!H8/'Exp UIM'!B8</f>
        <v>0</v>
      </c>
    </row>
    <row r="9">
      <c r="A9">
        <v>2025</v>
      </c>
      <c r="B9">
        <f>'Premium Summary'!E9*0.15</f>
        <v>0</v>
      </c>
      <c r="C9">
        <v>549987</v>
      </c>
      <c r="D9">
        <v>253010</v>
      </c>
      <c r="E9">
        <f>'Exp UIM'!C9*PricingULAE</f>
        <v>0</v>
      </c>
      <c r="F9">
        <f>('Exp UIM'!C9+'Exp UIM'!E9)/'Exp UIM'!B9</f>
        <v>0</v>
      </c>
      <c r="G9">
        <f>[reserve-model.xlsx]'LDF Summary'!B7</f>
        <v>0</v>
      </c>
      <c r="H9">
        <f>('Exp UIM'!C9+'Exp UIM'!E9)*'Exp UIM'!G9</f>
        <v>0</v>
      </c>
      <c r="I9">
        <f>'Exp UIM'!H9/'Exp UIM'!B9</f>
        <v>0</v>
      </c>
    </row>
  </sheetData>
  <ignoredErrors>
    <ignoredError numberStoredAsText="1" sqref="A1:I9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tr">
        <v>Rate Indication Calculation</v>
      </c>
      <c r="B1" t="str">
        <v>UIM</v>
      </c>
    </row>
    <row r="2">
      <c r="A2" t="str">
        <v/>
      </c>
    </row>
    <row r="3">
      <c r="A3" t="str">
        <v>Step</v>
      </c>
      <c r="B3" t="str">
        <v>Description</v>
      </c>
      <c r="C3" t="str">
        <v>Value</v>
      </c>
      <c r="D3" t="str">
        <v>Source</v>
      </c>
    </row>
    <row r="4">
      <c r="A4">
        <v>1</v>
      </c>
      <c r="B4" t="str">
        <v>Historical Ult Loss Ratio</v>
      </c>
      <c r="C4">
        <f>AVERAGE('Exp UIM'!I2:I9)</f>
        <v>0</v>
      </c>
    </row>
    <row r="5">
      <c r="A5">
        <v>2</v>
      </c>
      <c r="B5" t="str">
        <v>Credibility-Weighted LR</v>
      </c>
      <c r="C5">
        <f>'RI UIM'!C4*CredZ+(1-CredZ)*CompLR</f>
        <v>0</v>
      </c>
    </row>
    <row r="6">
      <c r="A6">
        <v>3</v>
      </c>
      <c r="B6" t="str">
        <v>Trended Loss Ratio</v>
      </c>
      <c r="C6">
        <f>'RI UIM'!C5*(1+LossTrend)^2</f>
        <v>0</v>
      </c>
    </row>
    <row r="7">
      <c r="A7">
        <v>4</v>
      </c>
      <c r="B7" t="str">
        <v>Loss + ULAE Ratio</v>
      </c>
      <c r="C7">
        <f>'RI UIM'!C6+PricingULAE</f>
        <v>0</v>
      </c>
    </row>
    <row r="8">
      <c r="A8">
        <v>5</v>
      </c>
      <c r="B8" t="str">
        <v>Expense Ratio</v>
      </c>
      <c r="C8">
        <f>FixedExpense+VarExpense+ExpTrend</f>
        <v>0</v>
      </c>
    </row>
    <row r="9">
      <c r="A9">
        <v>6</v>
      </c>
      <c r="B9" t="str">
        <v>UW Profit Target</v>
      </c>
      <c r="C9">
        <f>ProfitLoad-InvCredit</f>
        <v>0</v>
      </c>
    </row>
    <row r="10">
      <c r="A10">
        <v>7</v>
      </c>
      <c r="B10" t="str">
        <v>Required Combined Ratio</v>
      </c>
      <c r="C10">
        <f>'RI UIM'!C7+'RI UIM'!C8+'RI UIM'!C9+ReinsCostPct</f>
        <v>0</v>
      </c>
    </row>
    <row r="11">
      <c r="A11">
        <v>8</v>
      </c>
      <c r="B11" t="str">
        <v>Indicated Rate Change</v>
      </c>
      <c r="C11">
        <f>'RI UIM'!C10-1</f>
        <v>0</v>
      </c>
    </row>
    <row r="12">
      <c r="A12">
        <v>9</v>
      </c>
      <c r="B12" t="str">
        <v>Capped Rate Change</v>
      </c>
      <c r="C12">
        <f>MIN(MAX('RI UIM'!C11,RateFloorPct),RateCapPct)</f>
        <v>0</v>
      </c>
    </row>
  </sheetData>
  <ignoredErrors>
    <ignoredError numberStoredAsText="1" sqref="A1:D1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Data>
    <row r="1">
      <c r="A1" t="str">
        <v>Year</v>
      </c>
      <c r="B1" t="str">
        <v>Earned Prem</v>
      </c>
      <c r="C1" t="str">
        <v>Incurred Loss</v>
      </c>
      <c r="D1" t="str">
        <v>Paid Loss</v>
      </c>
      <c r="E1" t="str">
        <v>ALAE</v>
      </c>
      <c r="F1" t="str">
        <v>Loss Ratio</v>
      </c>
      <c r="G1" t="str">
        <v>Dev Factor</v>
      </c>
      <c r="H1" t="str">
        <v>Ult Loss</v>
      </c>
      <c r="I1" t="str">
        <v>Ult LR</v>
      </c>
    </row>
    <row r="2">
      <c r="A2">
        <v>2018</v>
      </c>
      <c r="B2">
        <f>'Premium Summary'!E2*0.16</f>
        <v>0</v>
      </c>
      <c r="C2">
        <v>617540</v>
      </c>
      <c r="D2">
        <v>334496</v>
      </c>
      <c r="E2">
        <f>'Exp MedPay'!C2*PricingULAE</f>
        <v>0</v>
      </c>
      <c r="F2">
        <f>('Exp MedPay'!C2+'Exp MedPay'!E2)/'Exp MedPay'!B2</f>
        <v>0</v>
      </c>
      <c r="G2">
        <f>[reserve-model.xlsx]'LDF Summary'!B8</f>
        <v>0</v>
      </c>
      <c r="H2">
        <f>('Exp MedPay'!C2+'Exp MedPay'!E2)*'Exp MedPay'!G2</f>
        <v>0</v>
      </c>
      <c r="I2">
        <f>'Exp MedPay'!H2/'Exp MedPay'!B2</f>
        <v>0</v>
      </c>
    </row>
    <row r="3">
      <c r="A3">
        <v>2019</v>
      </c>
      <c r="B3">
        <f>'Premium Summary'!E3*0.16</f>
        <v>0</v>
      </c>
      <c r="C3">
        <v>624665</v>
      </c>
      <c r="D3">
        <v>281761</v>
      </c>
      <c r="E3">
        <f>'Exp MedPay'!C3*PricingULAE</f>
        <v>0</v>
      </c>
      <c r="F3">
        <f>('Exp MedPay'!C3+'Exp MedPay'!E3)/'Exp MedPay'!B3</f>
        <v>0</v>
      </c>
      <c r="G3">
        <f>[reserve-model.xlsx]'LDF Summary'!B8</f>
        <v>0</v>
      </c>
      <c r="H3">
        <f>('Exp MedPay'!C3+'Exp MedPay'!E3)*'Exp MedPay'!G3</f>
        <v>0</v>
      </c>
      <c r="I3">
        <f>'Exp MedPay'!H3/'Exp MedPay'!B3</f>
        <v>0</v>
      </c>
    </row>
    <row r="4">
      <c r="A4">
        <v>2020</v>
      </c>
      <c r="B4">
        <f>'Premium Summary'!E4*0.16</f>
        <v>0</v>
      </c>
      <c r="C4">
        <v>330997</v>
      </c>
      <c r="D4">
        <v>308320</v>
      </c>
      <c r="E4">
        <f>'Exp MedPay'!C4*PricingULAE</f>
        <v>0</v>
      </c>
      <c r="F4">
        <f>('Exp MedPay'!C4+'Exp MedPay'!E4)/'Exp MedPay'!B4</f>
        <v>0</v>
      </c>
      <c r="G4">
        <f>[reserve-model.xlsx]'LDF Summary'!B8</f>
        <v>0</v>
      </c>
      <c r="H4">
        <f>('Exp MedPay'!C4+'Exp MedPay'!E4)*'Exp MedPay'!G4</f>
        <v>0</v>
      </c>
      <c r="I4">
        <f>'Exp MedPay'!H4/'Exp MedPay'!B4</f>
        <v>0</v>
      </c>
    </row>
    <row r="5">
      <c r="A5">
        <v>2021</v>
      </c>
      <c r="B5">
        <f>'Premium Summary'!E5*0.16</f>
        <v>0</v>
      </c>
      <c r="C5">
        <v>771673</v>
      </c>
      <c r="D5">
        <v>305402</v>
      </c>
      <c r="E5">
        <f>'Exp MedPay'!C5*PricingULAE</f>
        <v>0</v>
      </c>
      <c r="F5">
        <f>('Exp MedPay'!C5+'Exp MedPay'!E5)/'Exp MedPay'!B5</f>
        <v>0</v>
      </c>
      <c r="G5">
        <f>[reserve-model.xlsx]'LDF Summary'!B8</f>
        <v>0</v>
      </c>
      <c r="H5">
        <f>('Exp MedPay'!C5+'Exp MedPay'!E5)*'Exp MedPay'!G5</f>
        <v>0</v>
      </c>
      <c r="I5">
        <f>'Exp MedPay'!H5/'Exp MedPay'!B5</f>
        <v>0</v>
      </c>
    </row>
    <row r="6">
      <c r="A6">
        <v>2022</v>
      </c>
      <c r="B6">
        <f>'Premium Summary'!E6*0.16</f>
        <v>0</v>
      </c>
      <c r="C6">
        <v>384536</v>
      </c>
      <c r="D6">
        <v>622225</v>
      </c>
      <c r="E6">
        <f>'Exp MedPay'!C6*PricingULAE</f>
        <v>0</v>
      </c>
      <c r="F6">
        <f>('Exp MedPay'!C6+'Exp MedPay'!E6)/'Exp MedPay'!B6</f>
        <v>0</v>
      </c>
      <c r="G6">
        <f>[reserve-model.xlsx]'LDF Summary'!B8</f>
        <v>0</v>
      </c>
      <c r="H6">
        <f>('Exp MedPay'!C6+'Exp MedPay'!E6)*'Exp MedPay'!G6</f>
        <v>0</v>
      </c>
      <c r="I6">
        <f>'Exp MedPay'!H6/'Exp MedPay'!B6</f>
        <v>0</v>
      </c>
    </row>
    <row r="7">
      <c r="A7">
        <v>2023</v>
      </c>
      <c r="B7">
        <f>'Premium Summary'!E7*0.16</f>
        <v>0</v>
      </c>
      <c r="C7">
        <v>745266</v>
      </c>
      <c r="D7">
        <v>415860</v>
      </c>
      <c r="E7">
        <f>'Exp MedPay'!C7*PricingULAE</f>
        <v>0</v>
      </c>
      <c r="F7">
        <f>('Exp MedPay'!C7+'Exp MedPay'!E7)/'Exp MedPay'!B7</f>
        <v>0</v>
      </c>
      <c r="G7">
        <f>[reserve-model.xlsx]'LDF Summary'!B8</f>
        <v>0</v>
      </c>
      <c r="H7">
        <f>('Exp MedPay'!C7+'Exp MedPay'!E7)*'Exp MedPay'!G7</f>
        <v>0</v>
      </c>
      <c r="I7">
        <f>'Exp MedPay'!H7/'Exp MedPay'!B7</f>
        <v>0</v>
      </c>
    </row>
    <row r="8">
      <c r="A8">
        <v>2024</v>
      </c>
      <c r="B8">
        <f>'Premium Summary'!E8*0.16</f>
        <v>0</v>
      </c>
      <c r="C8">
        <v>414871</v>
      </c>
      <c r="D8">
        <v>509386</v>
      </c>
      <c r="E8">
        <f>'Exp MedPay'!C8*PricingULAE</f>
        <v>0</v>
      </c>
      <c r="F8">
        <f>('Exp MedPay'!C8+'Exp MedPay'!E8)/'Exp MedPay'!B8</f>
        <v>0</v>
      </c>
      <c r="G8">
        <f>[reserve-model.xlsx]'LDF Summary'!B8</f>
        <v>0</v>
      </c>
      <c r="H8">
        <f>('Exp MedPay'!C8+'Exp MedPay'!E8)*'Exp MedPay'!G8</f>
        <v>0</v>
      </c>
      <c r="I8">
        <f>'Exp MedPay'!H8/'Exp MedPay'!B8</f>
        <v>0</v>
      </c>
    </row>
    <row r="9">
      <c r="A9">
        <v>2025</v>
      </c>
      <c r="B9">
        <f>'Premium Summary'!E9*0.16</f>
        <v>0</v>
      </c>
      <c r="C9">
        <v>748540</v>
      </c>
      <c r="D9">
        <v>475445</v>
      </c>
      <c r="E9">
        <f>'Exp MedPay'!C9*PricingULAE</f>
        <v>0</v>
      </c>
      <c r="F9">
        <f>('Exp MedPay'!C9+'Exp MedPay'!E9)/'Exp MedPay'!B9</f>
        <v>0</v>
      </c>
      <c r="G9">
        <f>[reserve-model.xlsx]'LDF Summary'!B8</f>
        <v>0</v>
      </c>
      <c r="H9">
        <f>('Exp MedPay'!C9+'Exp MedPay'!E9)*'Exp MedPay'!G9</f>
        <v>0</v>
      </c>
      <c r="I9">
        <f>'Exp MedPay'!H9/'Exp MedPay'!B9</f>
        <v>0</v>
      </c>
    </row>
  </sheetData>
  <ignoredErrors>
    <ignoredError numberStoredAsText="1" sqref="A1:I9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tr">
        <v>Rate Indication Calculation</v>
      </c>
      <c r="B1" t="str">
        <v>MedPay</v>
      </c>
    </row>
    <row r="2">
      <c r="A2" t="str">
        <v/>
      </c>
    </row>
    <row r="3">
      <c r="A3" t="str">
        <v>Step</v>
      </c>
      <c r="B3" t="str">
        <v>Description</v>
      </c>
      <c r="C3" t="str">
        <v>Value</v>
      </c>
      <c r="D3" t="str">
        <v>Source</v>
      </c>
    </row>
    <row r="4">
      <c r="A4">
        <v>1</v>
      </c>
      <c r="B4" t="str">
        <v>Historical Ult Loss Ratio</v>
      </c>
      <c r="C4">
        <f>AVERAGE('Exp MedPay'!I2:I9)</f>
        <v>0</v>
      </c>
    </row>
    <row r="5">
      <c r="A5">
        <v>2</v>
      </c>
      <c r="B5" t="str">
        <v>Credibility-Weighted LR</v>
      </c>
      <c r="C5">
        <f>'RI MedPay'!C4*CredZ+(1-CredZ)*CompLR</f>
        <v>0</v>
      </c>
    </row>
    <row r="6">
      <c r="A6">
        <v>3</v>
      </c>
      <c r="B6" t="str">
        <v>Trended Loss Ratio</v>
      </c>
      <c r="C6">
        <f>'RI MedPay'!C5*(1+LossTrend)^2</f>
        <v>0</v>
      </c>
    </row>
    <row r="7">
      <c r="A7">
        <v>4</v>
      </c>
      <c r="B7" t="str">
        <v>Loss + ULAE Ratio</v>
      </c>
      <c r="C7">
        <f>'RI MedPay'!C6+PricingULAE</f>
        <v>0</v>
      </c>
    </row>
    <row r="8">
      <c r="A8">
        <v>5</v>
      </c>
      <c r="B8" t="str">
        <v>Expense Ratio</v>
      </c>
      <c r="C8">
        <f>FixedExpense+VarExpense+ExpTrend</f>
        <v>0</v>
      </c>
    </row>
    <row r="9">
      <c r="A9">
        <v>6</v>
      </c>
      <c r="B9" t="str">
        <v>UW Profit Target</v>
      </c>
      <c r="C9">
        <f>ProfitLoad-InvCredit</f>
        <v>0</v>
      </c>
    </row>
    <row r="10">
      <c r="A10">
        <v>7</v>
      </c>
      <c r="B10" t="str">
        <v>Required Combined Ratio</v>
      </c>
      <c r="C10">
        <f>'RI MedPay'!C7+'RI MedPay'!C8+'RI MedPay'!C9+ReinsCostPct</f>
        <v>0</v>
      </c>
    </row>
    <row r="11">
      <c r="A11">
        <v>8</v>
      </c>
      <c r="B11" t="str">
        <v>Indicated Rate Change</v>
      </c>
      <c r="C11">
        <f>'RI MedPay'!C10-1</f>
        <v>0</v>
      </c>
    </row>
    <row r="12">
      <c r="A12">
        <v>9</v>
      </c>
      <c r="B12" t="str">
        <v>Capped Rate Change</v>
      </c>
      <c r="C12">
        <f>MIN(MAX('RI MedPay'!C11,RateFloorPct),RateCapPct)</f>
        <v>0</v>
      </c>
    </row>
  </sheetData>
  <ignoredErrors>
    <ignoredError numberStoredAsText="1" sqref="A1:D12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Data>
    <row r="1">
      <c r="A1" t="str">
        <v>Year</v>
      </c>
      <c r="B1" t="str">
        <v>Earned Prem</v>
      </c>
      <c r="C1" t="str">
        <v>Incurred Loss</v>
      </c>
      <c r="D1" t="str">
        <v>Paid Loss</v>
      </c>
      <c r="E1" t="str">
        <v>ALAE</v>
      </c>
      <c r="F1" t="str">
        <v>Loss Ratio</v>
      </c>
      <c r="G1" t="str">
        <v>Dev Factor</v>
      </c>
      <c r="H1" t="str">
        <v>Ult Loss</v>
      </c>
      <c r="I1" t="str">
        <v>Ult LR</v>
      </c>
    </row>
    <row r="2">
      <c r="A2">
        <v>2018</v>
      </c>
      <c r="B2">
        <f>'Premium Summary'!E2*0.17</f>
        <v>0</v>
      </c>
      <c r="C2">
        <v>489020</v>
      </c>
      <c r="D2">
        <v>415312</v>
      </c>
      <c r="E2">
        <f>'Exp PIP'!C2*PricingULAE</f>
        <v>0</v>
      </c>
      <c r="F2">
        <f>('Exp PIP'!C2+'Exp PIP'!E2)/'Exp PIP'!B2</f>
        <v>0</v>
      </c>
      <c r="G2">
        <f>[reserve-model.xlsx]'LDF Summary'!B9</f>
        <v>0</v>
      </c>
      <c r="H2">
        <f>('Exp PIP'!C2+'Exp PIP'!E2)*'Exp PIP'!G2</f>
        <v>0</v>
      </c>
      <c r="I2">
        <f>'Exp PIP'!H2/'Exp PIP'!B2</f>
        <v>0</v>
      </c>
    </row>
    <row r="3">
      <c r="A3">
        <v>2019</v>
      </c>
      <c r="B3">
        <f>'Premium Summary'!E3*0.17</f>
        <v>0</v>
      </c>
      <c r="C3">
        <v>777131</v>
      </c>
      <c r="D3">
        <v>533299</v>
      </c>
      <c r="E3">
        <f>'Exp PIP'!C3*PricingULAE</f>
        <v>0</v>
      </c>
      <c r="F3">
        <f>('Exp PIP'!C3+'Exp PIP'!E3)/'Exp PIP'!B3</f>
        <v>0</v>
      </c>
      <c r="G3">
        <f>[reserve-model.xlsx]'LDF Summary'!B9</f>
        <v>0</v>
      </c>
      <c r="H3">
        <f>('Exp PIP'!C3+'Exp PIP'!E3)*'Exp PIP'!G3</f>
        <v>0</v>
      </c>
      <c r="I3">
        <f>'Exp PIP'!H3/'Exp PIP'!B3</f>
        <v>0</v>
      </c>
    </row>
    <row r="4">
      <c r="A4">
        <v>2020</v>
      </c>
      <c r="B4">
        <f>'Premium Summary'!E4*0.17</f>
        <v>0</v>
      </c>
      <c r="C4">
        <v>529574</v>
      </c>
      <c r="D4">
        <v>371720</v>
      </c>
      <c r="E4">
        <f>'Exp PIP'!C4*PricingULAE</f>
        <v>0</v>
      </c>
      <c r="F4">
        <f>('Exp PIP'!C4+'Exp PIP'!E4)/'Exp PIP'!B4</f>
        <v>0</v>
      </c>
      <c r="G4">
        <f>[reserve-model.xlsx]'LDF Summary'!B9</f>
        <v>0</v>
      </c>
      <c r="H4">
        <f>('Exp PIP'!C4+'Exp PIP'!E4)*'Exp PIP'!G4</f>
        <v>0</v>
      </c>
      <c r="I4">
        <f>'Exp PIP'!H4/'Exp PIP'!B4</f>
        <v>0</v>
      </c>
    </row>
    <row r="5">
      <c r="A5">
        <v>2021</v>
      </c>
      <c r="B5">
        <f>'Premium Summary'!E5*0.17</f>
        <v>0</v>
      </c>
      <c r="C5">
        <v>669909</v>
      </c>
      <c r="D5">
        <v>441919</v>
      </c>
      <c r="E5">
        <f>'Exp PIP'!C5*PricingULAE</f>
        <v>0</v>
      </c>
      <c r="F5">
        <f>('Exp PIP'!C5+'Exp PIP'!E5)/'Exp PIP'!B5</f>
        <v>0</v>
      </c>
      <c r="G5">
        <f>[reserve-model.xlsx]'LDF Summary'!B9</f>
        <v>0</v>
      </c>
      <c r="H5">
        <f>('Exp PIP'!C5+'Exp PIP'!E5)*'Exp PIP'!G5</f>
        <v>0</v>
      </c>
      <c r="I5">
        <f>'Exp PIP'!H5/'Exp PIP'!B5</f>
        <v>0</v>
      </c>
    </row>
    <row r="6">
      <c r="A6">
        <v>2022</v>
      </c>
      <c r="B6">
        <f>'Premium Summary'!E6*0.17</f>
        <v>0</v>
      </c>
      <c r="C6">
        <v>722444</v>
      </c>
      <c r="D6">
        <v>377157</v>
      </c>
      <c r="E6">
        <f>'Exp PIP'!C6*PricingULAE</f>
        <v>0</v>
      </c>
      <c r="F6">
        <f>('Exp PIP'!C6+'Exp PIP'!E6)/'Exp PIP'!B6</f>
        <v>0</v>
      </c>
      <c r="G6">
        <f>[reserve-model.xlsx]'LDF Summary'!B9</f>
        <v>0</v>
      </c>
      <c r="H6">
        <f>('Exp PIP'!C6+'Exp PIP'!E6)*'Exp PIP'!G6</f>
        <v>0</v>
      </c>
      <c r="I6">
        <f>'Exp PIP'!H6/'Exp PIP'!B6</f>
        <v>0</v>
      </c>
    </row>
    <row r="7">
      <c r="A7">
        <v>2023</v>
      </c>
      <c r="B7">
        <f>'Premium Summary'!E7*0.17</f>
        <v>0</v>
      </c>
      <c r="C7">
        <v>431332</v>
      </c>
      <c r="D7">
        <v>510576</v>
      </c>
      <c r="E7">
        <f>'Exp PIP'!C7*PricingULAE</f>
        <v>0</v>
      </c>
      <c r="F7">
        <f>('Exp PIP'!C7+'Exp PIP'!E7)/'Exp PIP'!B7</f>
        <v>0</v>
      </c>
      <c r="G7">
        <f>[reserve-model.xlsx]'LDF Summary'!B9</f>
        <v>0</v>
      </c>
      <c r="H7">
        <f>('Exp PIP'!C7+'Exp PIP'!E7)*'Exp PIP'!G7</f>
        <v>0</v>
      </c>
      <c r="I7">
        <f>'Exp PIP'!H7/'Exp PIP'!B7</f>
        <v>0</v>
      </c>
    </row>
    <row r="8">
      <c r="A8">
        <v>2024</v>
      </c>
      <c r="B8">
        <f>'Premium Summary'!E8*0.17</f>
        <v>0</v>
      </c>
      <c r="C8">
        <v>447394</v>
      </c>
      <c r="D8">
        <v>336651</v>
      </c>
      <c r="E8">
        <f>'Exp PIP'!C8*PricingULAE</f>
        <v>0</v>
      </c>
      <c r="F8">
        <f>('Exp PIP'!C8+'Exp PIP'!E8)/'Exp PIP'!B8</f>
        <v>0</v>
      </c>
      <c r="G8">
        <f>[reserve-model.xlsx]'LDF Summary'!B9</f>
        <v>0</v>
      </c>
      <c r="H8">
        <f>('Exp PIP'!C8+'Exp PIP'!E8)*'Exp PIP'!G8</f>
        <v>0</v>
      </c>
      <c r="I8">
        <f>'Exp PIP'!H8/'Exp PIP'!B8</f>
        <v>0</v>
      </c>
    </row>
    <row r="9">
      <c r="A9">
        <v>2025</v>
      </c>
      <c r="B9">
        <f>'Premium Summary'!E9*0.17</f>
        <v>0</v>
      </c>
      <c r="C9">
        <v>794122</v>
      </c>
      <c r="D9">
        <v>578267</v>
      </c>
      <c r="E9">
        <f>'Exp PIP'!C9*PricingULAE</f>
        <v>0</v>
      </c>
      <c r="F9">
        <f>('Exp PIP'!C9+'Exp PIP'!E9)/'Exp PIP'!B9</f>
        <v>0</v>
      </c>
      <c r="G9">
        <f>[reserve-model.xlsx]'LDF Summary'!B9</f>
        <v>0</v>
      </c>
      <c r="H9">
        <f>('Exp PIP'!C9+'Exp PIP'!E9)*'Exp PIP'!G9</f>
        <v>0</v>
      </c>
      <c r="I9">
        <f>'Exp PIP'!H9/'Exp PIP'!B9</f>
        <v>0</v>
      </c>
    </row>
  </sheetData>
  <ignoredErrors>
    <ignoredError numberStoredAsText="1" sqref="A1:I9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tr">
        <v>Rate Indication Calculation</v>
      </c>
      <c r="B1" t="str">
        <v>PIP</v>
      </c>
    </row>
    <row r="2">
      <c r="A2" t="str">
        <v/>
      </c>
    </row>
    <row r="3">
      <c r="A3" t="str">
        <v>Step</v>
      </c>
      <c r="B3" t="str">
        <v>Description</v>
      </c>
      <c r="C3" t="str">
        <v>Value</v>
      </c>
      <c r="D3" t="str">
        <v>Source</v>
      </c>
    </row>
    <row r="4">
      <c r="A4">
        <v>1</v>
      </c>
      <c r="B4" t="str">
        <v>Historical Ult Loss Ratio</v>
      </c>
      <c r="C4">
        <f>AVERAGE('Exp PIP'!I2:I9)</f>
        <v>0</v>
      </c>
    </row>
    <row r="5">
      <c r="A5">
        <v>2</v>
      </c>
      <c r="B5" t="str">
        <v>Credibility-Weighted LR</v>
      </c>
      <c r="C5">
        <f>'RI PIP'!C4*CredZ+(1-CredZ)*CompLR</f>
        <v>0</v>
      </c>
    </row>
    <row r="6">
      <c r="A6">
        <v>3</v>
      </c>
      <c r="B6" t="str">
        <v>Trended Loss Ratio</v>
      </c>
      <c r="C6">
        <f>'RI PIP'!C5*(1+LossTrend)^2</f>
        <v>0</v>
      </c>
    </row>
    <row r="7">
      <c r="A7">
        <v>4</v>
      </c>
      <c r="B7" t="str">
        <v>Loss + ULAE Ratio</v>
      </c>
      <c r="C7">
        <f>'RI PIP'!C6+PricingULAE</f>
        <v>0</v>
      </c>
    </row>
    <row r="8">
      <c r="A8">
        <v>5</v>
      </c>
      <c r="B8" t="str">
        <v>Expense Ratio</v>
      </c>
      <c r="C8">
        <f>FixedExpense+VarExpense+ExpTrend</f>
        <v>0</v>
      </c>
    </row>
    <row r="9">
      <c r="A9">
        <v>6</v>
      </c>
      <c r="B9" t="str">
        <v>UW Profit Target</v>
      </c>
      <c r="C9">
        <f>ProfitLoad-InvCredit</f>
        <v>0</v>
      </c>
    </row>
    <row r="10">
      <c r="A10">
        <v>7</v>
      </c>
      <c r="B10" t="str">
        <v>Required Combined Ratio</v>
      </c>
      <c r="C10">
        <f>'RI PIP'!C7+'RI PIP'!C8+'RI PIP'!C9+ReinsCostPct</f>
        <v>0</v>
      </c>
    </row>
    <row r="11">
      <c r="A11">
        <v>8</v>
      </c>
      <c r="B11" t="str">
        <v>Indicated Rate Change</v>
      </c>
      <c r="C11">
        <f>'RI PIP'!C10-1</f>
        <v>0</v>
      </c>
    </row>
    <row r="12">
      <c r="A12">
        <v>9</v>
      </c>
      <c r="B12" t="str">
        <v>Capped Rate Change</v>
      </c>
      <c r="C12">
        <f>MIN(MAX('RI PIP'!C11,RateFloorPct),RateCapPct)</f>
        <v>0</v>
      </c>
    </row>
  </sheetData>
  <ignoredErrors>
    <ignoredError numberStoredAsText="1" sqref="A1:D1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Data>
    <row r="1">
      <c r="A1" t="str">
        <v>Year</v>
      </c>
      <c r="B1" t="str">
        <v>Earned Prem</v>
      </c>
      <c r="C1" t="str">
        <v>Incurred Loss</v>
      </c>
      <c r="D1" t="str">
        <v>Paid Loss</v>
      </c>
      <c r="E1" t="str">
        <v>ALAE</v>
      </c>
      <c r="F1" t="str">
        <v>Loss Ratio</v>
      </c>
      <c r="G1" t="str">
        <v>Dev Factor</v>
      </c>
      <c r="H1" t="str">
        <v>Ult Loss</v>
      </c>
      <c r="I1" t="str">
        <v>Ult LR</v>
      </c>
    </row>
    <row r="2">
      <c r="A2">
        <v>2018</v>
      </c>
      <c r="B2">
        <f>'Premium Summary'!E2*0.18</f>
        <v>0</v>
      </c>
      <c r="C2">
        <v>477992</v>
      </c>
      <c r="D2">
        <v>589777</v>
      </c>
      <c r="E2">
        <f>'Exp Rental'!C2*PricingULAE</f>
        <v>0</v>
      </c>
      <c r="F2">
        <f>('Exp Rental'!C2+'Exp Rental'!E2)/'Exp Rental'!B2</f>
        <v>0</v>
      </c>
      <c r="G2">
        <f>[reserve-model.xlsx]'LDF Summary'!B9</f>
        <v>0</v>
      </c>
      <c r="H2">
        <f>('Exp Rental'!C2+'Exp Rental'!E2)*'Exp Rental'!G2</f>
        <v>0</v>
      </c>
      <c r="I2">
        <f>'Exp Rental'!H2/'Exp Rental'!B2</f>
        <v>0</v>
      </c>
    </row>
    <row r="3">
      <c r="A3">
        <v>2019</v>
      </c>
      <c r="B3">
        <f>'Premium Summary'!E3*0.18</f>
        <v>0</v>
      </c>
      <c r="C3">
        <v>527390</v>
      </c>
      <c r="D3">
        <v>533104</v>
      </c>
      <c r="E3">
        <f>'Exp Rental'!C3*PricingULAE</f>
        <v>0</v>
      </c>
      <c r="F3">
        <f>('Exp Rental'!C3+'Exp Rental'!E3)/'Exp Rental'!B3</f>
        <v>0</v>
      </c>
      <c r="G3">
        <f>[reserve-model.xlsx]'LDF Summary'!B9</f>
        <v>0</v>
      </c>
      <c r="H3">
        <f>('Exp Rental'!C3+'Exp Rental'!E3)*'Exp Rental'!G3</f>
        <v>0</v>
      </c>
      <c r="I3">
        <f>'Exp Rental'!H3/'Exp Rental'!B3</f>
        <v>0</v>
      </c>
    </row>
    <row r="4">
      <c r="A4">
        <v>2020</v>
      </c>
      <c r="B4">
        <f>'Premium Summary'!E4*0.18</f>
        <v>0</v>
      </c>
      <c r="C4">
        <v>658913</v>
      </c>
      <c r="D4">
        <v>597038</v>
      </c>
      <c r="E4">
        <f>'Exp Rental'!C4*PricingULAE</f>
        <v>0</v>
      </c>
      <c r="F4">
        <f>('Exp Rental'!C4+'Exp Rental'!E4)/'Exp Rental'!B4</f>
        <v>0</v>
      </c>
      <c r="G4">
        <f>[reserve-model.xlsx]'LDF Summary'!B9</f>
        <v>0</v>
      </c>
      <c r="H4">
        <f>('Exp Rental'!C4+'Exp Rental'!E4)*'Exp Rental'!G4</f>
        <v>0</v>
      </c>
      <c r="I4">
        <f>'Exp Rental'!H4/'Exp Rental'!B4</f>
        <v>0</v>
      </c>
    </row>
    <row r="5">
      <c r="A5">
        <v>2021</v>
      </c>
      <c r="B5">
        <f>'Premium Summary'!E5*0.18</f>
        <v>0</v>
      </c>
      <c r="C5">
        <v>687218</v>
      </c>
      <c r="D5">
        <v>629277</v>
      </c>
      <c r="E5">
        <f>'Exp Rental'!C5*PricingULAE</f>
        <v>0</v>
      </c>
      <c r="F5">
        <f>('Exp Rental'!C5+'Exp Rental'!E5)/'Exp Rental'!B5</f>
        <v>0</v>
      </c>
      <c r="G5">
        <f>[reserve-model.xlsx]'LDF Summary'!B9</f>
        <v>0</v>
      </c>
      <c r="H5">
        <f>('Exp Rental'!C5+'Exp Rental'!E5)*'Exp Rental'!G5</f>
        <v>0</v>
      </c>
      <c r="I5">
        <f>'Exp Rental'!H5/'Exp Rental'!B5</f>
        <v>0</v>
      </c>
    </row>
    <row r="6">
      <c r="A6">
        <v>2022</v>
      </c>
      <c r="B6">
        <f>'Premium Summary'!E6*0.18</f>
        <v>0</v>
      </c>
      <c r="C6">
        <v>369411</v>
      </c>
      <c r="D6">
        <v>421330</v>
      </c>
      <c r="E6">
        <f>'Exp Rental'!C6*PricingULAE</f>
        <v>0</v>
      </c>
      <c r="F6">
        <f>('Exp Rental'!C6+'Exp Rental'!E6)/'Exp Rental'!B6</f>
        <v>0</v>
      </c>
      <c r="G6">
        <f>[reserve-model.xlsx]'LDF Summary'!B9</f>
        <v>0</v>
      </c>
      <c r="H6">
        <f>('Exp Rental'!C6+'Exp Rental'!E6)*'Exp Rental'!G6</f>
        <v>0</v>
      </c>
      <c r="I6">
        <f>'Exp Rental'!H6/'Exp Rental'!B6</f>
        <v>0</v>
      </c>
    </row>
    <row r="7">
      <c r="A7">
        <v>2023</v>
      </c>
      <c r="B7">
        <f>'Premium Summary'!E7*0.18</f>
        <v>0</v>
      </c>
      <c r="C7">
        <v>515534</v>
      </c>
      <c r="D7">
        <v>567908</v>
      </c>
      <c r="E7">
        <f>'Exp Rental'!C7*PricingULAE</f>
        <v>0</v>
      </c>
      <c r="F7">
        <f>('Exp Rental'!C7+'Exp Rental'!E7)/'Exp Rental'!B7</f>
        <v>0</v>
      </c>
      <c r="G7">
        <f>[reserve-model.xlsx]'LDF Summary'!B9</f>
        <v>0</v>
      </c>
      <c r="H7">
        <f>('Exp Rental'!C7+'Exp Rental'!E7)*'Exp Rental'!G7</f>
        <v>0</v>
      </c>
      <c r="I7">
        <f>'Exp Rental'!H7/'Exp Rental'!B7</f>
        <v>0</v>
      </c>
    </row>
    <row r="8">
      <c r="A8">
        <v>2024</v>
      </c>
      <c r="B8">
        <f>'Premium Summary'!E8*0.18</f>
        <v>0</v>
      </c>
      <c r="C8">
        <v>759952</v>
      </c>
      <c r="D8">
        <v>605374</v>
      </c>
      <c r="E8">
        <f>'Exp Rental'!C8*PricingULAE</f>
        <v>0</v>
      </c>
      <c r="F8">
        <f>('Exp Rental'!C8+'Exp Rental'!E8)/'Exp Rental'!B8</f>
        <v>0</v>
      </c>
      <c r="G8">
        <f>[reserve-model.xlsx]'LDF Summary'!B9</f>
        <v>0</v>
      </c>
      <c r="H8">
        <f>('Exp Rental'!C8+'Exp Rental'!E8)*'Exp Rental'!G8</f>
        <v>0</v>
      </c>
      <c r="I8">
        <f>'Exp Rental'!H8/'Exp Rental'!B8</f>
        <v>0</v>
      </c>
    </row>
    <row r="9">
      <c r="A9">
        <v>2025</v>
      </c>
      <c r="B9">
        <f>'Premium Summary'!E9*0.18</f>
        <v>0</v>
      </c>
      <c r="C9">
        <v>405907</v>
      </c>
      <c r="D9">
        <v>489256</v>
      </c>
      <c r="E9">
        <f>'Exp Rental'!C9*PricingULAE</f>
        <v>0</v>
      </c>
      <c r="F9">
        <f>('Exp Rental'!C9+'Exp Rental'!E9)/'Exp Rental'!B9</f>
        <v>0</v>
      </c>
      <c r="G9">
        <f>[reserve-model.xlsx]'LDF Summary'!B9</f>
        <v>0</v>
      </c>
      <c r="H9">
        <f>('Exp Rental'!C9+'Exp Rental'!E9)*'Exp Rental'!G9</f>
        <v>0</v>
      </c>
      <c r="I9">
        <f>'Exp Rental'!H9/'Exp Rental'!B9</f>
        <v>0</v>
      </c>
    </row>
  </sheetData>
  <ignoredErrors>
    <ignoredError numberStoredAsText="1" sqref="A1:I9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tr">
        <v>Rate Indication Calculation</v>
      </c>
      <c r="B1" t="str">
        <v>Rental</v>
      </c>
    </row>
    <row r="2">
      <c r="A2" t="str">
        <v/>
      </c>
    </row>
    <row r="3">
      <c r="A3" t="str">
        <v>Step</v>
      </c>
      <c r="B3" t="str">
        <v>Description</v>
      </c>
      <c r="C3" t="str">
        <v>Value</v>
      </c>
      <c r="D3" t="str">
        <v>Source</v>
      </c>
    </row>
    <row r="4">
      <c r="A4">
        <v>1</v>
      </c>
      <c r="B4" t="str">
        <v>Historical Ult Loss Ratio</v>
      </c>
      <c r="C4">
        <f>AVERAGE('Exp Rental'!I2:I9)</f>
        <v>0</v>
      </c>
    </row>
    <row r="5">
      <c r="A5">
        <v>2</v>
      </c>
      <c r="B5" t="str">
        <v>Credibility-Weighted LR</v>
      </c>
      <c r="C5">
        <f>'RI Rental'!C4*CredZ+(1-CredZ)*CompLR</f>
        <v>0</v>
      </c>
    </row>
    <row r="6">
      <c r="A6">
        <v>3</v>
      </c>
      <c r="B6" t="str">
        <v>Trended Loss Ratio</v>
      </c>
      <c r="C6">
        <f>'RI Rental'!C5*(1+LossTrend)^2</f>
        <v>0</v>
      </c>
    </row>
    <row r="7">
      <c r="A7">
        <v>4</v>
      </c>
      <c r="B7" t="str">
        <v>Loss + ULAE Ratio</v>
      </c>
      <c r="C7">
        <f>'RI Rental'!C6+PricingULAE</f>
        <v>0</v>
      </c>
    </row>
    <row r="8">
      <c r="A8">
        <v>5</v>
      </c>
      <c r="B8" t="str">
        <v>Expense Ratio</v>
      </c>
      <c r="C8">
        <f>FixedExpense+VarExpense+ExpTrend</f>
        <v>0</v>
      </c>
    </row>
    <row r="9">
      <c r="A9">
        <v>6</v>
      </c>
      <c r="B9" t="str">
        <v>UW Profit Target</v>
      </c>
      <c r="C9">
        <f>ProfitLoad-InvCredit</f>
        <v>0</v>
      </c>
    </row>
    <row r="10">
      <c r="A10">
        <v>7</v>
      </c>
      <c r="B10" t="str">
        <v>Required Combined Ratio</v>
      </c>
      <c r="C10">
        <f>'RI Rental'!C7+'RI Rental'!C8+'RI Rental'!C9+ReinsCostPct</f>
        <v>0</v>
      </c>
    </row>
    <row r="11">
      <c r="A11">
        <v>8</v>
      </c>
      <c r="B11" t="str">
        <v>Indicated Rate Change</v>
      </c>
      <c r="C11">
        <f>'RI Rental'!C10-1</f>
        <v>0</v>
      </c>
    </row>
    <row r="12">
      <c r="A12">
        <v>9</v>
      </c>
      <c r="B12" t="str">
        <v>Capped Rate Change</v>
      </c>
      <c r="C12">
        <f>MIN(MAX('RI Rental'!C11,RateFloorPct),RateCapPct)</f>
        <v>0</v>
      </c>
    </row>
  </sheetData>
  <ignoredErrors>
    <ignoredError numberStoredAsText="1" sqref="A1:D12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Data>
    <row r="1">
      <c r="A1" t="str">
        <v>Year</v>
      </c>
      <c r="B1" t="str">
        <v>Earned Prem</v>
      </c>
      <c r="C1" t="str">
        <v>Incurred Loss</v>
      </c>
      <c r="D1" t="str">
        <v>Paid Loss</v>
      </c>
      <c r="E1" t="str">
        <v>ALAE</v>
      </c>
      <c r="F1" t="str">
        <v>Loss Ratio</v>
      </c>
      <c r="G1" t="str">
        <v>Dev Factor</v>
      </c>
      <c r="H1" t="str">
        <v>Ult Loss</v>
      </c>
      <c r="I1" t="str">
        <v>Ult LR</v>
      </c>
    </row>
    <row r="2">
      <c r="A2">
        <v>2018</v>
      </c>
      <c r="B2">
        <f>'Premium Summary'!E2*0.19</f>
        <v>0</v>
      </c>
      <c r="C2">
        <v>484802</v>
      </c>
      <c r="D2">
        <v>310637</v>
      </c>
      <c r="E2">
        <f>'Exp Towing'!C2*PricingULAE</f>
        <v>0</v>
      </c>
      <c r="F2">
        <f>('Exp Towing'!C2+'Exp Towing'!E2)/'Exp Towing'!B2</f>
        <v>0</v>
      </c>
      <c r="G2">
        <f>[reserve-model.xlsx]'LDF Summary'!B9</f>
        <v>0</v>
      </c>
      <c r="H2">
        <f>('Exp Towing'!C2+'Exp Towing'!E2)*'Exp Towing'!G2</f>
        <v>0</v>
      </c>
      <c r="I2">
        <f>'Exp Towing'!H2/'Exp Towing'!B2</f>
        <v>0</v>
      </c>
    </row>
    <row r="3">
      <c r="A3">
        <v>2019</v>
      </c>
      <c r="B3">
        <f>'Premium Summary'!E3*0.19</f>
        <v>0</v>
      </c>
      <c r="C3">
        <v>581046</v>
      </c>
      <c r="D3">
        <v>550417</v>
      </c>
      <c r="E3">
        <f>'Exp Towing'!C3*PricingULAE</f>
        <v>0</v>
      </c>
      <c r="F3">
        <f>('Exp Towing'!C3+'Exp Towing'!E3)/'Exp Towing'!B3</f>
        <v>0</v>
      </c>
      <c r="G3">
        <f>[reserve-model.xlsx]'LDF Summary'!B9</f>
        <v>0</v>
      </c>
      <c r="H3">
        <f>('Exp Towing'!C3+'Exp Towing'!E3)*'Exp Towing'!G3</f>
        <v>0</v>
      </c>
      <c r="I3">
        <f>'Exp Towing'!H3/'Exp Towing'!B3</f>
        <v>0</v>
      </c>
    </row>
    <row r="4">
      <c r="A4">
        <v>2020</v>
      </c>
      <c r="B4">
        <f>'Premium Summary'!E4*0.19</f>
        <v>0</v>
      </c>
      <c r="C4">
        <v>350131</v>
      </c>
      <c r="D4">
        <v>580734</v>
      </c>
      <c r="E4">
        <f>'Exp Towing'!C4*PricingULAE</f>
        <v>0</v>
      </c>
      <c r="F4">
        <f>('Exp Towing'!C4+'Exp Towing'!E4)/'Exp Towing'!B4</f>
        <v>0</v>
      </c>
      <c r="G4">
        <f>[reserve-model.xlsx]'LDF Summary'!B9</f>
        <v>0</v>
      </c>
      <c r="H4">
        <f>('Exp Towing'!C4+'Exp Towing'!E4)*'Exp Towing'!G4</f>
        <v>0</v>
      </c>
      <c r="I4">
        <f>'Exp Towing'!H4/'Exp Towing'!B4</f>
        <v>0</v>
      </c>
    </row>
    <row r="5">
      <c r="A5">
        <v>2021</v>
      </c>
      <c r="B5">
        <f>'Premium Summary'!E5*0.19</f>
        <v>0</v>
      </c>
      <c r="C5">
        <v>745335</v>
      </c>
      <c r="D5">
        <v>455130</v>
      </c>
      <c r="E5">
        <f>'Exp Towing'!C5*PricingULAE</f>
        <v>0</v>
      </c>
      <c r="F5">
        <f>('Exp Towing'!C5+'Exp Towing'!E5)/'Exp Towing'!B5</f>
        <v>0</v>
      </c>
      <c r="G5">
        <f>[reserve-model.xlsx]'LDF Summary'!B9</f>
        <v>0</v>
      </c>
      <c r="H5">
        <f>('Exp Towing'!C5+'Exp Towing'!E5)*'Exp Towing'!G5</f>
        <v>0</v>
      </c>
      <c r="I5">
        <f>'Exp Towing'!H5/'Exp Towing'!B5</f>
        <v>0</v>
      </c>
    </row>
    <row r="6">
      <c r="A6">
        <v>2022</v>
      </c>
      <c r="B6">
        <f>'Premium Summary'!E6*0.19</f>
        <v>0</v>
      </c>
      <c r="C6">
        <v>580081</v>
      </c>
      <c r="D6">
        <v>254429</v>
      </c>
      <c r="E6">
        <f>'Exp Towing'!C6*PricingULAE</f>
        <v>0</v>
      </c>
      <c r="F6">
        <f>('Exp Towing'!C6+'Exp Towing'!E6)/'Exp Towing'!B6</f>
        <v>0</v>
      </c>
      <c r="G6">
        <f>[reserve-model.xlsx]'LDF Summary'!B9</f>
        <v>0</v>
      </c>
      <c r="H6">
        <f>('Exp Towing'!C6+'Exp Towing'!E6)*'Exp Towing'!G6</f>
        <v>0</v>
      </c>
      <c r="I6">
        <f>'Exp Towing'!H6/'Exp Towing'!B6</f>
        <v>0</v>
      </c>
    </row>
    <row r="7">
      <c r="A7">
        <v>2023</v>
      </c>
      <c r="B7">
        <f>'Premium Summary'!E7*0.19</f>
        <v>0</v>
      </c>
      <c r="C7">
        <v>329430</v>
      </c>
      <c r="D7">
        <v>604955</v>
      </c>
      <c r="E7">
        <f>'Exp Towing'!C7*PricingULAE</f>
        <v>0</v>
      </c>
      <c r="F7">
        <f>('Exp Towing'!C7+'Exp Towing'!E7)/'Exp Towing'!B7</f>
        <v>0</v>
      </c>
      <c r="G7">
        <f>[reserve-model.xlsx]'LDF Summary'!B9</f>
        <v>0</v>
      </c>
      <c r="H7">
        <f>('Exp Towing'!C7+'Exp Towing'!E7)*'Exp Towing'!G7</f>
        <v>0</v>
      </c>
      <c r="I7">
        <f>'Exp Towing'!H7/'Exp Towing'!B7</f>
        <v>0</v>
      </c>
    </row>
    <row r="8">
      <c r="A8">
        <v>2024</v>
      </c>
      <c r="B8">
        <f>'Premium Summary'!E8*0.19</f>
        <v>0</v>
      </c>
      <c r="C8">
        <v>399553</v>
      </c>
      <c r="D8">
        <v>584093</v>
      </c>
      <c r="E8">
        <f>'Exp Towing'!C8*PricingULAE</f>
        <v>0</v>
      </c>
      <c r="F8">
        <f>('Exp Towing'!C8+'Exp Towing'!E8)/'Exp Towing'!B8</f>
        <v>0</v>
      </c>
      <c r="G8">
        <f>[reserve-model.xlsx]'LDF Summary'!B9</f>
        <v>0</v>
      </c>
      <c r="H8">
        <f>('Exp Towing'!C8+'Exp Towing'!E8)*'Exp Towing'!G8</f>
        <v>0</v>
      </c>
      <c r="I8">
        <f>'Exp Towing'!H8/'Exp Towing'!B8</f>
        <v>0</v>
      </c>
    </row>
    <row r="9">
      <c r="A9">
        <v>2025</v>
      </c>
      <c r="B9">
        <f>'Premium Summary'!E9*0.19</f>
        <v>0</v>
      </c>
      <c r="C9">
        <v>439609</v>
      </c>
      <c r="D9">
        <v>584198</v>
      </c>
      <c r="E9">
        <f>'Exp Towing'!C9*PricingULAE</f>
        <v>0</v>
      </c>
      <c r="F9">
        <f>('Exp Towing'!C9+'Exp Towing'!E9)/'Exp Towing'!B9</f>
        <v>0</v>
      </c>
      <c r="G9">
        <f>[reserve-model.xlsx]'LDF Summary'!B9</f>
        <v>0</v>
      </c>
      <c r="H9">
        <f>('Exp Towing'!C9+'Exp Towing'!E9)*'Exp Towing'!G9</f>
        <v>0</v>
      </c>
      <c r="I9">
        <f>'Exp Towing'!H9/'Exp Towing'!B9</f>
        <v>0</v>
      </c>
    </row>
  </sheetData>
  <ignoredErrors>
    <ignoredError numberStoredAsText="1" sqref="A1:I9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tr">
        <v>Rate Indication Calculation</v>
      </c>
      <c r="B1" t="str">
        <v>Towing</v>
      </c>
    </row>
    <row r="2">
      <c r="A2" t="str">
        <v/>
      </c>
    </row>
    <row r="3">
      <c r="A3" t="str">
        <v>Step</v>
      </c>
      <c r="B3" t="str">
        <v>Description</v>
      </c>
      <c r="C3" t="str">
        <v>Value</v>
      </c>
      <c r="D3" t="str">
        <v>Source</v>
      </c>
    </row>
    <row r="4">
      <c r="A4">
        <v>1</v>
      </c>
      <c r="B4" t="str">
        <v>Historical Ult Loss Ratio</v>
      </c>
      <c r="C4">
        <f>AVERAGE('Exp Towing'!I2:I9)</f>
        <v>0</v>
      </c>
    </row>
    <row r="5">
      <c r="A5">
        <v>2</v>
      </c>
      <c r="B5" t="str">
        <v>Credibility-Weighted LR</v>
      </c>
      <c r="C5">
        <f>'RI Towing'!C4*CredZ+(1-CredZ)*CompLR</f>
        <v>0</v>
      </c>
    </row>
    <row r="6">
      <c r="A6">
        <v>3</v>
      </c>
      <c r="B6" t="str">
        <v>Trended Loss Ratio</v>
      </c>
      <c r="C6">
        <f>'RI Towing'!C5*(1+LossTrend)^2</f>
        <v>0</v>
      </c>
    </row>
    <row r="7">
      <c r="A7">
        <v>4</v>
      </c>
      <c r="B7" t="str">
        <v>Loss + ULAE Ratio</v>
      </c>
      <c r="C7">
        <f>'RI Towing'!C6+PricingULAE</f>
        <v>0</v>
      </c>
    </row>
    <row r="8">
      <c r="A8">
        <v>5</v>
      </c>
      <c r="B8" t="str">
        <v>Expense Ratio</v>
      </c>
      <c r="C8">
        <f>FixedExpense+VarExpense+ExpTrend</f>
        <v>0</v>
      </c>
    </row>
    <row r="9">
      <c r="A9">
        <v>6</v>
      </c>
      <c r="B9" t="str">
        <v>UW Profit Target</v>
      </c>
      <c r="C9">
        <f>ProfitLoad-InvCredit</f>
        <v>0</v>
      </c>
    </row>
    <row r="10">
      <c r="A10">
        <v>7</v>
      </c>
      <c r="B10" t="str">
        <v>Required Combined Ratio</v>
      </c>
      <c r="C10">
        <f>'RI Towing'!C7+'RI Towing'!C8+'RI Towing'!C9+ReinsCostPct</f>
        <v>0</v>
      </c>
    </row>
    <row r="11">
      <c r="A11">
        <v>8</v>
      </c>
      <c r="B11" t="str">
        <v>Indicated Rate Change</v>
      </c>
      <c r="C11">
        <f>'RI Towing'!C10-1</f>
        <v>0</v>
      </c>
    </row>
    <row r="12">
      <c r="A12">
        <v>9</v>
      </c>
      <c r="B12" t="str">
        <v>Capped Rate Change</v>
      </c>
      <c r="C12">
        <f>MIN(MAX('RI Towing'!C11,RateFloorPct),RateCapPct)</f>
        <v>0</v>
      </c>
    </row>
  </sheetData>
  <ignoredErrors>
    <ignoredError numberStoredAsText="1" sqref="A1:D12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>
        <v>State</v>
      </c>
      <c r="B1" t="str">
        <v>BI</v>
      </c>
      <c r="C1" t="str">
        <v>PD</v>
      </c>
      <c r="D1" t="str">
        <v>Comp</v>
      </c>
      <c r="E1" t="str">
        <v>Coll</v>
      </c>
      <c r="F1" t="str">
        <v>UM</v>
      </c>
      <c r="G1" t="str">
        <v>UIM</v>
      </c>
      <c r="H1" t="str">
        <v>MedPay</v>
      </c>
      <c r="I1" t="str">
        <v>PIP</v>
      </c>
      <c r="J1" t="str">
        <v>Rental</v>
      </c>
      <c r="K1" t="str">
        <v>Towing</v>
      </c>
    </row>
    <row r="2">
      <c r="A2" t="str">
        <v>CA</v>
      </c>
      <c r="B2">
        <v>1.21</v>
      </c>
      <c r="C2">
        <v>1.08</v>
      </c>
      <c r="D2">
        <v>0.72</v>
      </c>
      <c r="E2">
        <v>0.71</v>
      </c>
      <c r="F2">
        <v>0.86</v>
      </c>
      <c r="G2">
        <v>0.82</v>
      </c>
      <c r="H2">
        <v>1.21</v>
      </c>
      <c r="I2">
        <v>1.3</v>
      </c>
      <c r="J2">
        <v>0.87</v>
      </c>
      <c r="K2">
        <v>0.77</v>
      </c>
    </row>
    <row r="3">
      <c r="A3" t="str">
        <v>TX</v>
      </c>
      <c r="B3">
        <v>0.91</v>
      </c>
      <c r="C3">
        <v>1.07</v>
      </c>
      <c r="D3">
        <v>1.15</v>
      </c>
      <c r="E3">
        <v>0.87</v>
      </c>
      <c r="F3">
        <v>1.12</v>
      </c>
      <c r="G3">
        <v>0.94</v>
      </c>
      <c r="H3">
        <v>1.27</v>
      </c>
      <c r="I3">
        <v>1.25</v>
      </c>
      <c r="J3">
        <v>0.94</v>
      </c>
      <c r="K3">
        <v>0.92</v>
      </c>
    </row>
    <row r="4">
      <c r="A4" t="str">
        <v>FL</v>
      </c>
      <c r="B4">
        <v>1.12</v>
      </c>
      <c r="C4">
        <v>0.88</v>
      </c>
      <c r="D4">
        <v>1.23</v>
      </c>
      <c r="E4">
        <v>1.02</v>
      </c>
      <c r="F4">
        <v>1.06</v>
      </c>
      <c r="G4">
        <v>0.93</v>
      </c>
      <c r="H4">
        <v>0.99</v>
      </c>
      <c r="I4">
        <v>0.79</v>
      </c>
      <c r="J4">
        <v>1.23</v>
      </c>
      <c r="K4">
        <v>1.01</v>
      </c>
    </row>
    <row r="5">
      <c r="A5" t="str">
        <v>NY</v>
      </c>
      <c r="B5">
        <v>0.95</v>
      </c>
      <c r="C5">
        <v>1.26</v>
      </c>
      <c r="D5">
        <v>1.01</v>
      </c>
      <c r="E5">
        <v>1.11</v>
      </c>
      <c r="F5">
        <v>0.73</v>
      </c>
      <c r="G5">
        <v>0.79</v>
      </c>
      <c r="H5">
        <v>1.19</v>
      </c>
      <c r="I5">
        <v>0.9</v>
      </c>
      <c r="J5">
        <v>0.8</v>
      </c>
      <c r="K5">
        <v>0.83</v>
      </c>
    </row>
    <row r="6">
      <c r="A6" t="str">
        <v>IL</v>
      </c>
      <c r="B6">
        <v>1</v>
      </c>
      <c r="C6">
        <v>0.87</v>
      </c>
      <c r="D6">
        <v>1.28</v>
      </c>
      <c r="E6">
        <v>1.23</v>
      </c>
      <c r="F6">
        <v>1.02</v>
      </c>
      <c r="G6">
        <v>0.97</v>
      </c>
      <c r="H6">
        <v>0.83</v>
      </c>
      <c r="I6">
        <v>0.74</v>
      </c>
      <c r="J6">
        <v>1.03</v>
      </c>
      <c r="K6">
        <v>0.93</v>
      </c>
    </row>
    <row r="7">
      <c r="A7" t="str">
        <v>PA</v>
      </c>
      <c r="B7">
        <v>0.9</v>
      </c>
      <c r="C7">
        <v>1.07</v>
      </c>
      <c r="D7">
        <v>1</v>
      </c>
      <c r="E7">
        <v>0.82</v>
      </c>
      <c r="F7">
        <v>0.97</v>
      </c>
      <c r="G7">
        <v>1.22</v>
      </c>
      <c r="H7">
        <v>0.76</v>
      </c>
      <c r="I7">
        <v>0.92</v>
      </c>
      <c r="J7">
        <v>0.99</v>
      </c>
      <c r="K7">
        <v>0.79</v>
      </c>
    </row>
    <row r="8">
      <c r="A8" t="str">
        <v>OH</v>
      </c>
      <c r="B8">
        <v>0.74</v>
      </c>
      <c r="C8">
        <v>0.94</v>
      </c>
      <c r="D8">
        <v>0.86</v>
      </c>
      <c r="E8">
        <v>1.22</v>
      </c>
      <c r="F8">
        <v>1.01</v>
      </c>
      <c r="G8">
        <v>0.85</v>
      </c>
      <c r="H8">
        <v>0.73</v>
      </c>
      <c r="I8">
        <v>1.16</v>
      </c>
      <c r="J8">
        <v>1.27</v>
      </c>
      <c r="K8">
        <v>0.9</v>
      </c>
    </row>
    <row r="9">
      <c r="A9" t="str">
        <v>GA</v>
      </c>
      <c r="B9">
        <v>0.85</v>
      </c>
      <c r="C9">
        <v>0.87</v>
      </c>
      <c r="D9">
        <v>0.86</v>
      </c>
      <c r="E9">
        <v>1.25</v>
      </c>
      <c r="F9">
        <v>1.03</v>
      </c>
      <c r="G9">
        <v>0.97</v>
      </c>
      <c r="H9">
        <v>1.16</v>
      </c>
      <c r="I9">
        <v>0.75</v>
      </c>
      <c r="J9">
        <v>0.78</v>
      </c>
      <c r="K9">
        <v>1</v>
      </c>
    </row>
    <row r="10">
      <c r="A10" t="str">
        <v>NC</v>
      </c>
      <c r="B10">
        <v>1.19</v>
      </c>
      <c r="C10">
        <v>0.9</v>
      </c>
      <c r="D10">
        <v>1.14</v>
      </c>
      <c r="E10">
        <v>0.98</v>
      </c>
      <c r="F10">
        <v>0.97</v>
      </c>
      <c r="G10">
        <v>0.98</v>
      </c>
      <c r="H10">
        <v>0.76</v>
      </c>
      <c r="I10">
        <v>1.16</v>
      </c>
      <c r="J10">
        <v>0.9</v>
      </c>
      <c r="K10">
        <v>1.24</v>
      </c>
    </row>
    <row r="11">
      <c r="A11" t="str">
        <v>MI</v>
      </c>
      <c r="B11">
        <v>0.99</v>
      </c>
      <c r="C11">
        <v>1.22</v>
      </c>
      <c r="D11">
        <v>0.78</v>
      </c>
      <c r="E11">
        <v>1.13</v>
      </c>
      <c r="F11">
        <v>1.22</v>
      </c>
      <c r="G11">
        <v>1.01</v>
      </c>
      <c r="H11">
        <v>0.91</v>
      </c>
      <c r="I11">
        <v>1.25</v>
      </c>
      <c r="J11">
        <v>1.17</v>
      </c>
      <c r="K11">
        <v>0.88</v>
      </c>
    </row>
  </sheetData>
  <ignoredErrors>
    <ignoredError numberStoredAsText="1" sqref="A1:K11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Coverage</v>
      </c>
      <c r="B1" t="str">
        <v>Indicated Change</v>
      </c>
      <c r="C1" t="str">
        <v>Premium Weight</v>
      </c>
      <c r="D1" t="str">
        <v>Weighted Change</v>
      </c>
      <c r="E1" t="str">
        <v>Current Rate</v>
      </c>
      <c r="F1" t="str">
        <v>Proposed Rate</v>
      </c>
    </row>
    <row r="2">
      <c r="A2" t="str">
        <v>BI</v>
      </c>
      <c r="B2">
        <f>'RI BI'!C12</f>
        <v>0</v>
      </c>
      <c r="C2">
        <v>0.08</v>
      </c>
      <c r="D2">
        <f>'Overall Indication'!B2*'Overall Indication'!C2</f>
        <v>0</v>
      </c>
      <c r="E2">
        <v>2278</v>
      </c>
      <c r="F2">
        <f>'Overall Indication'!E2*(1+'Overall Indication'!B2)</f>
        <v>0</v>
      </c>
    </row>
    <row r="3">
      <c r="A3" t="str">
        <v>PD</v>
      </c>
      <c r="B3">
        <f>'RI PD'!C12</f>
        <v>0</v>
      </c>
      <c r="C3">
        <v>0.2</v>
      </c>
      <c r="D3">
        <f>'Overall Indication'!B3*'Overall Indication'!C3</f>
        <v>0</v>
      </c>
      <c r="E3">
        <v>548</v>
      </c>
      <c r="F3">
        <f>'Overall Indication'!E3*(1+'Overall Indication'!B3)</f>
        <v>0</v>
      </c>
    </row>
    <row r="4">
      <c r="A4" t="str">
        <v>Comp</v>
      </c>
      <c r="B4">
        <f>'RI Comp'!C12</f>
        <v>0</v>
      </c>
      <c r="C4">
        <v>0.05</v>
      </c>
      <c r="D4">
        <f>'Overall Indication'!B4*'Overall Indication'!C4</f>
        <v>0</v>
      </c>
      <c r="E4">
        <v>1438</v>
      </c>
      <c r="F4">
        <f>'Overall Indication'!E4*(1+'Overall Indication'!B4)</f>
        <v>0</v>
      </c>
    </row>
    <row r="5">
      <c r="A5" t="str">
        <v>Coll</v>
      </c>
      <c r="B5">
        <f>'RI Coll'!C12</f>
        <v>0</v>
      </c>
      <c r="C5">
        <v>0.11</v>
      </c>
      <c r="D5">
        <f>'Overall Indication'!B5*'Overall Indication'!C5</f>
        <v>0</v>
      </c>
      <c r="E5">
        <v>1045</v>
      </c>
      <c r="F5">
        <f>'Overall Indication'!E5*(1+'Overall Indication'!B5)</f>
        <v>0</v>
      </c>
    </row>
    <row r="6">
      <c r="A6" t="str">
        <v>UM</v>
      </c>
      <c r="B6">
        <f>'RI UM'!C12</f>
        <v>0</v>
      </c>
      <c r="C6">
        <v>0.1</v>
      </c>
      <c r="D6">
        <f>'Overall Indication'!B6*'Overall Indication'!C6</f>
        <v>0</v>
      </c>
      <c r="E6">
        <v>1008</v>
      </c>
      <c r="F6">
        <f>'Overall Indication'!E6*(1+'Overall Indication'!B6)</f>
        <v>0</v>
      </c>
    </row>
    <row r="7">
      <c r="A7" t="str">
        <v>UIM</v>
      </c>
      <c r="B7">
        <f>'RI UIM'!C12</f>
        <v>0</v>
      </c>
      <c r="C7">
        <v>0.07</v>
      </c>
      <c r="D7">
        <f>'Overall Indication'!B7*'Overall Indication'!C7</f>
        <v>0</v>
      </c>
      <c r="E7">
        <v>698</v>
      </c>
      <c r="F7">
        <f>'Overall Indication'!E7*(1+'Overall Indication'!B7)</f>
        <v>0</v>
      </c>
    </row>
    <row r="8">
      <c r="A8" t="str">
        <v>MedPay</v>
      </c>
      <c r="B8">
        <f>'RI MedPay'!C12</f>
        <v>0</v>
      </c>
      <c r="C8">
        <v>0.09</v>
      </c>
      <c r="D8">
        <f>'Overall Indication'!B8*'Overall Indication'!C8</f>
        <v>0</v>
      </c>
      <c r="E8">
        <v>1832</v>
      </c>
      <c r="F8">
        <f>'Overall Indication'!E8*(1+'Overall Indication'!B8)</f>
        <v>0</v>
      </c>
    </row>
    <row r="9">
      <c r="A9" t="str">
        <v>PIP</v>
      </c>
      <c r="B9">
        <f>'RI PIP'!C12</f>
        <v>0</v>
      </c>
      <c r="C9">
        <v>0.08</v>
      </c>
      <c r="D9">
        <f>'Overall Indication'!B9*'Overall Indication'!C9</f>
        <v>0</v>
      </c>
      <c r="E9">
        <v>812</v>
      </c>
      <c r="F9">
        <f>'Overall Indication'!E9*(1+'Overall Indication'!B9)</f>
        <v>0</v>
      </c>
    </row>
    <row r="10">
      <c r="A10" t="str">
        <v>Rental</v>
      </c>
      <c r="B10">
        <f>'RI Rental'!C12</f>
        <v>0</v>
      </c>
      <c r="C10">
        <v>0.19</v>
      </c>
      <c r="D10">
        <f>'Overall Indication'!B10*'Overall Indication'!C10</f>
        <v>0</v>
      </c>
      <c r="E10">
        <v>1337</v>
      </c>
      <c r="F10">
        <f>'Overall Indication'!E10*(1+'Overall Indication'!B10)</f>
        <v>0</v>
      </c>
    </row>
    <row r="11">
      <c r="A11" t="str">
        <v>Towing</v>
      </c>
      <c r="B11">
        <f>'RI Towing'!C12</f>
        <v>0</v>
      </c>
      <c r="C11">
        <v>0.16</v>
      </c>
      <c r="D11">
        <f>'Overall Indication'!B11*'Overall Indication'!C11</f>
        <v>0</v>
      </c>
      <c r="E11">
        <v>666</v>
      </c>
      <c r="F11">
        <f>'Overall Indication'!E11*(1+'Overall Indication'!B11)</f>
        <v>0</v>
      </c>
    </row>
    <row r="12">
      <c r="A12" t="str">
        <v>TOTAL</v>
      </c>
      <c r="B12">
        <f>'Overall Indication'!D12/'Overall Indication'!C12</f>
        <v>0</v>
      </c>
      <c r="C12">
        <f>SUM(C2:C11)</f>
        <v>0</v>
      </c>
      <c r="D12">
        <f>SUM(D2:D11)</f>
        <v>0</v>
      </c>
    </row>
  </sheetData>
  <ignoredErrors>
    <ignoredError numberStoredAsText="1" sqref="A1:F12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State</v>
      </c>
      <c r="B1" t="str">
        <v>Our Rate</v>
      </c>
      <c r="C1" t="str">
        <v>Competitor A</v>
      </c>
      <c r="D1" t="str">
        <v>Competitor B</v>
      </c>
      <c r="E1" t="str">
        <v>Market Avg</v>
      </c>
      <c r="F1" t="str">
        <v>Position</v>
      </c>
    </row>
    <row r="2">
      <c r="A2" t="str">
        <v>CA</v>
      </c>
      <c r="B2">
        <f>'Overall Indication'!F2*'State Relativities'!B2</f>
        <v>0</v>
      </c>
      <c r="C2">
        <v>1307</v>
      </c>
      <c r="D2">
        <v>1220</v>
      </c>
      <c r="E2">
        <f>('Competitive Analysis'!C2+'Competitive Analysis'!D2)/2</f>
        <v>0</v>
      </c>
      <c r="F2">
        <f>'Competitive Analysis'!B2/'Competitive Analysis'!E2-1</f>
        <v>0</v>
      </c>
    </row>
    <row r="3">
      <c r="A3" t="str">
        <v>TX</v>
      </c>
      <c r="B3">
        <f>'Overall Indication'!F2*'State Relativities'!B3</f>
        <v>0</v>
      </c>
      <c r="C3">
        <v>1482</v>
      </c>
      <c r="D3">
        <v>1805</v>
      </c>
      <c r="E3">
        <f>('Competitive Analysis'!C3+'Competitive Analysis'!D3)/2</f>
        <v>0</v>
      </c>
      <c r="F3">
        <f>'Competitive Analysis'!B3/'Competitive Analysis'!E3-1</f>
        <v>0</v>
      </c>
    </row>
    <row r="4">
      <c r="A4" t="str">
        <v>FL</v>
      </c>
      <c r="B4">
        <f>'Overall Indication'!F2*'State Relativities'!B4</f>
        <v>0</v>
      </c>
      <c r="C4">
        <v>1173</v>
      </c>
      <c r="D4">
        <v>1650</v>
      </c>
      <c r="E4">
        <f>('Competitive Analysis'!C4+'Competitive Analysis'!D4)/2</f>
        <v>0</v>
      </c>
      <c r="F4">
        <f>'Competitive Analysis'!B4/'Competitive Analysis'!E4-1</f>
        <v>0</v>
      </c>
    </row>
    <row r="5">
      <c r="A5" t="str">
        <v>NY</v>
      </c>
      <c r="B5">
        <f>'Overall Indication'!F2*'State Relativities'!B5</f>
        <v>0</v>
      </c>
      <c r="C5">
        <v>1541</v>
      </c>
      <c r="D5">
        <v>1853</v>
      </c>
      <c r="E5">
        <f>('Competitive Analysis'!C5+'Competitive Analysis'!D5)/2</f>
        <v>0</v>
      </c>
      <c r="F5">
        <f>'Competitive Analysis'!B5/'Competitive Analysis'!E5-1</f>
        <v>0</v>
      </c>
    </row>
    <row r="6">
      <c r="A6" t="str">
        <v>IL</v>
      </c>
      <c r="B6">
        <f>'Overall Indication'!F2*'State Relativities'!B6</f>
        <v>0</v>
      </c>
      <c r="C6">
        <v>2262</v>
      </c>
      <c r="D6">
        <v>1905</v>
      </c>
      <c r="E6">
        <f>('Competitive Analysis'!C6+'Competitive Analysis'!D6)/2</f>
        <v>0</v>
      </c>
      <c r="F6">
        <f>'Competitive Analysis'!B6/'Competitive Analysis'!E6-1</f>
        <v>0</v>
      </c>
    </row>
    <row r="7">
      <c r="A7" t="str">
        <v>PA</v>
      </c>
      <c r="B7">
        <f>'Overall Indication'!F2*'State Relativities'!B7</f>
        <v>0</v>
      </c>
      <c r="C7">
        <v>1080</v>
      </c>
      <c r="D7">
        <v>1724</v>
      </c>
      <c r="E7">
        <f>('Competitive Analysis'!C7+'Competitive Analysis'!D7)/2</f>
        <v>0</v>
      </c>
      <c r="F7">
        <f>'Competitive Analysis'!B7/'Competitive Analysis'!E7-1</f>
        <v>0</v>
      </c>
    </row>
    <row r="8">
      <c r="A8" t="str">
        <v>OH</v>
      </c>
      <c r="B8">
        <f>'Overall Indication'!F2*'State Relativities'!B8</f>
        <v>0</v>
      </c>
      <c r="C8">
        <v>2071</v>
      </c>
      <c r="D8">
        <v>1851</v>
      </c>
      <c r="E8">
        <f>('Competitive Analysis'!C8+'Competitive Analysis'!D8)/2</f>
        <v>0</v>
      </c>
      <c r="F8">
        <f>'Competitive Analysis'!B8/'Competitive Analysis'!E8-1</f>
        <v>0</v>
      </c>
    </row>
    <row r="9">
      <c r="A9" t="str">
        <v>GA</v>
      </c>
      <c r="B9">
        <f>'Overall Indication'!F2*'State Relativities'!B9</f>
        <v>0</v>
      </c>
      <c r="C9">
        <v>1423</v>
      </c>
      <c r="D9">
        <v>1882</v>
      </c>
      <c r="E9">
        <f>('Competitive Analysis'!C9+'Competitive Analysis'!D9)/2</f>
        <v>0</v>
      </c>
      <c r="F9">
        <f>'Competitive Analysis'!B9/'Competitive Analysis'!E9-1</f>
        <v>0</v>
      </c>
    </row>
    <row r="10">
      <c r="A10" t="str">
        <v>NC</v>
      </c>
      <c r="B10">
        <f>'Overall Indication'!F2*'State Relativities'!B10</f>
        <v>0</v>
      </c>
      <c r="C10">
        <v>1469</v>
      </c>
      <c r="D10">
        <v>1694</v>
      </c>
      <c r="E10">
        <f>('Competitive Analysis'!C10+'Competitive Analysis'!D10)/2</f>
        <v>0</v>
      </c>
      <c r="F10">
        <f>'Competitive Analysis'!B10/'Competitive Analysis'!E10-1</f>
        <v>0</v>
      </c>
    </row>
    <row r="11">
      <c r="A11" t="str">
        <v>MI</v>
      </c>
      <c r="B11">
        <f>'Overall Indication'!F2*'State Relativities'!B11</f>
        <v>0</v>
      </c>
      <c r="C11">
        <v>838</v>
      </c>
      <c r="D11">
        <v>1206</v>
      </c>
      <c r="E11">
        <f>('Competitive Analysis'!C11+'Competitive Analysis'!D11)/2</f>
        <v>0</v>
      </c>
      <c r="F11">
        <f>'Competitive Analysis'!B11/'Competitive Analysis'!E11-1</f>
        <v>0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Pricing Assumptions</vt:lpstr>
      <vt:lpstr>Premium Summary</vt:lpstr>
      <vt:lpstr>Exp BI</vt:lpstr>
      <vt:lpstr>RI BI</vt:lpstr>
      <vt:lpstr>Exp PD</vt:lpstr>
      <vt:lpstr>RI PD</vt:lpstr>
      <vt:lpstr>Exp Comp</vt:lpstr>
      <vt:lpstr>RI Comp</vt:lpstr>
      <vt:lpstr>Exp Coll</vt:lpstr>
      <vt:lpstr>RI Coll</vt:lpstr>
      <vt:lpstr>Exp UM</vt:lpstr>
      <vt:lpstr>RI UM</vt:lpstr>
      <vt:lpstr>Exp UIM</vt:lpstr>
      <vt:lpstr>RI UIM</vt:lpstr>
      <vt:lpstr>Exp MedPay</vt:lpstr>
      <vt:lpstr>RI MedPay</vt:lpstr>
      <vt:lpstr>Exp PIP</vt:lpstr>
      <vt:lpstr>RI PIP</vt:lpstr>
      <vt:lpstr>Exp Rental</vt:lpstr>
      <vt:lpstr>RI Rental</vt:lpstr>
      <vt:lpstr>Exp Towing</vt:lpstr>
      <vt:lpstr>RI Towing</vt:lpstr>
      <vt:lpstr>State Relativities</vt:lpstr>
      <vt:lpstr>Overall Indication</vt:lpstr>
      <vt:lpstr>Competitive 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
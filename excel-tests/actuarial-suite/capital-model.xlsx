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ital Assumptions" sheetId="1" r:id="rId1"/>
    <sheet name="Correlation Matrix" sheetId="2" r:id="rId2"/>
    <sheet name="Risk Reserve" sheetId="3" r:id="rId3"/>
    <sheet name="Risk Premium" sheetId="4" r:id="rId4"/>
    <sheet name="Risk Credit" sheetId="5" r:id="rId5"/>
    <sheet name="Risk Market" sheetId="6" r:id="rId6"/>
    <sheet name="Risk Operational" sheetId="7" r:id="rId7"/>
    <sheet name="Risk Catastrophe" sheetId="8" r:id="rId8"/>
    <sheet name="Risk Interest Rate" sheetId="9" r:id="rId9"/>
    <sheet name="Risk Liquidity" sheetId="10" r:id="rId10"/>
    <sheet name="Diversification" sheetId="11" r:id="rId11"/>
    <sheet name="Stress Base" sheetId="12" r:id="rId12"/>
    <sheet name="Stress Adverse" sheetId="13" r:id="rId13"/>
    <sheet name="Stress Moderate Stress" sheetId="14" r:id="rId14"/>
    <sheet name="Stress Severe Stress" sheetId="15" r:id="rId15"/>
    <sheet name="Stress Tail Event" sheetId="16" r:id="rId16"/>
    <sheet name="Stress Pandemic" sheetId="17" r:id="rId17"/>
    <sheet name="Stress Cat + Market" sheetId="18" r:id="rId18"/>
    <sheet name="Stress Regulatory" sheetId="19" r:id="rId19"/>
    <sheet name="Capital Summary" sheetId="20" r:id="rId20"/>
  </sheets>
  <definedNames>
    <definedName name="TargetRBC">'Capital Assumptions'!$B$4</definedName>
    <definedName name="CompAction">'Capital Assumptions'!$B$5</definedName>
    <definedName name="RegAction">'Capital Assumptions'!$B$6</definedName>
    <definedName name="ConfLevel995">'Capital Assumptions'!$B$7</definedName>
    <definedName name="CorrScaling">'Capital Assumptions'!$B$9</definedName>
    <definedName name="DivCredMin">'Capital Assumptions'!$B$10</definedName>
    <definedName name="OpRiskPct">'Capital Assumptions'!$B$11</definedName>
    <definedName name="CatPML">'Capital Assumptions'!$B$12</definedName>
    <definedName name="IRShockBps">'Capital Assumptions'!$B$13</definedName>
    <definedName name="SpreadShockBps">'Capital Assumptions'!$B$14</definedName>
    <definedName name="EquityShock">'Capital Assumptions'!$B$15</definedName>
    <definedName name="ResRiskCV">'Capital Assumptions'!$B$16</definedName>
    <definedName name="PremRiskCV">'Capital Assumptions'!$B$17</definedName>
    <definedName name="ReserveCharge">'Risk Reserve'!$F$8</definedName>
    <definedName name="PremiumCharge">'Risk Premium'!$F$8</definedName>
    <definedName name="CreditCharge">'Risk Credit'!$F$8</definedName>
    <definedName name="MarketCharge">'Risk Market'!$F$8</definedName>
    <definedName name="OperationalCharge">'Risk Operational'!$F$8</definedName>
    <definedName name="CatastropheCharge">'Risk Catastrophe'!$F$8</definedName>
    <definedName name="InterestRateCharge">'Risk Interest Rate'!$F$8</definedName>
    <definedName name="LiquidityCharge">'Risk Liquidity'!$F$8</definedName>
    <definedName name="TotalCapitalReq">Diversification!$D$10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Capital Model Assumptions</v>
      </c>
    </row>
    <row r="2">
      <c r="A2" t="str">
        <v/>
      </c>
    </row>
    <row r="3">
      <c r="A3" t="str">
        <v>Parameter</v>
      </c>
      <c r="B3" t="str">
        <v>Value</v>
      </c>
    </row>
    <row r="4">
      <c r="A4" t="str">
        <v>Target RBC Ratio</v>
      </c>
      <c r="B4">
        <v>3.5</v>
      </c>
    </row>
    <row r="5">
      <c r="A5" t="str">
        <v>Company Action Level</v>
      </c>
      <c r="B5">
        <v>2</v>
      </c>
    </row>
    <row r="6">
      <c r="A6" t="str">
        <v>Regulatory Action Level</v>
      </c>
      <c r="B6">
        <v>1.5</v>
      </c>
    </row>
    <row r="7">
      <c r="A7" t="str">
        <v>Confidence Level 99.5%</v>
      </c>
      <c r="B7">
        <v>0.995</v>
      </c>
    </row>
    <row r="8">
      <c r="A8" t="str">
        <v>Time Horizon (years)</v>
      </c>
      <c r="B8">
        <v>1</v>
      </c>
    </row>
    <row r="9">
      <c r="A9" t="str">
        <v>Correlation Scaling</v>
      </c>
      <c r="B9">
        <v>0.85</v>
      </c>
    </row>
    <row r="10">
      <c r="A10" t="str">
        <v>Diversification Credit Min</v>
      </c>
      <c r="B10">
        <v>0.15</v>
      </c>
    </row>
    <row r="11">
      <c r="A11" t="str">
        <v>Op Risk % of Premium</v>
      </c>
      <c r="B11">
        <v>0.03</v>
      </c>
    </row>
    <row r="12">
      <c r="A12" t="str">
        <v>Cat PML 250yr</v>
      </c>
      <c r="B12">
        <v>15000000</v>
      </c>
    </row>
    <row r="13">
      <c r="A13" t="str">
        <v>Interest Rate Shock bps</v>
      </c>
      <c r="B13">
        <v>200</v>
      </c>
    </row>
    <row r="14">
      <c r="A14" t="str">
        <v>Credit Spread Shock bps</v>
      </c>
      <c r="B14">
        <v>150</v>
      </c>
    </row>
    <row r="15">
      <c r="A15" t="str">
        <v>Equity Shock %</v>
      </c>
      <c r="B15">
        <v>-0.3</v>
      </c>
    </row>
    <row r="16">
      <c r="A16" t="str">
        <v>Reserve Risk CV</v>
      </c>
      <c r="B16">
        <v>0.1</v>
      </c>
    </row>
    <row r="17">
      <c r="A17" t="str">
        <v>Premium Risk CV</v>
      </c>
      <c r="B17">
        <v>0.12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/>
      </c>
      <c r="B1" t="str">
        <v>Reserve</v>
      </c>
      <c r="C1" t="str">
        <v>Premium</v>
      </c>
      <c r="D1" t="str">
        <v>Credit</v>
      </c>
      <c r="E1" t="str">
        <v>Market</v>
      </c>
      <c r="F1" t="str">
        <v>Operational</v>
      </c>
      <c r="G1" t="str">
        <v>Catastrophe</v>
      </c>
      <c r="H1" t="str">
        <v>Interest Rate</v>
      </c>
      <c r="I1" t="str">
        <v>Liquidity</v>
      </c>
    </row>
    <row r="2">
      <c r="A2" t="str">
        <v>Reserve</v>
      </c>
      <c r="B2">
        <v>1</v>
      </c>
      <c r="C2">
        <v>0.5</v>
      </c>
      <c r="D2">
        <v>0.25</v>
      </c>
      <c r="E2">
        <v>0.1</v>
      </c>
      <c r="F2">
        <v>0.15</v>
      </c>
      <c r="G2">
        <v>0.2</v>
      </c>
      <c r="H2">
        <v>0.3</v>
      </c>
      <c r="I2">
        <v>0.1</v>
      </c>
    </row>
    <row r="3">
      <c r="A3" t="str">
        <v>Premium</v>
      </c>
      <c r="B3">
        <v>0.5</v>
      </c>
      <c r="C3">
        <v>1</v>
      </c>
      <c r="D3">
        <v>0.2</v>
      </c>
      <c r="E3">
        <v>0.15</v>
      </c>
      <c r="F3">
        <v>0.1</v>
      </c>
      <c r="G3">
        <v>0.25</v>
      </c>
      <c r="H3">
        <v>0.2</v>
      </c>
      <c r="I3">
        <v>0.1</v>
      </c>
    </row>
    <row r="4">
      <c r="A4" t="str">
        <v>Credit</v>
      </c>
      <c r="B4">
        <v>0.25</v>
      </c>
      <c r="C4">
        <v>0.2</v>
      </c>
      <c r="D4">
        <v>1</v>
      </c>
      <c r="E4">
        <v>0.4</v>
      </c>
      <c r="F4">
        <v>0.15</v>
      </c>
      <c r="G4">
        <v>0.1</v>
      </c>
      <c r="H4">
        <v>0.35</v>
      </c>
      <c r="I4">
        <v>0.3</v>
      </c>
    </row>
    <row r="5">
      <c r="A5" t="str">
        <v>Market</v>
      </c>
      <c r="B5">
        <v>0.1</v>
      </c>
      <c r="C5">
        <v>0.15</v>
      </c>
      <c r="D5">
        <v>0.4</v>
      </c>
      <c r="E5">
        <v>1</v>
      </c>
      <c r="F5">
        <v>0.1</v>
      </c>
      <c r="G5">
        <v>0.15</v>
      </c>
      <c r="H5">
        <v>0.6</v>
      </c>
      <c r="I5">
        <v>0.25</v>
      </c>
    </row>
    <row r="6">
      <c r="A6" t="str">
        <v>Operational</v>
      </c>
      <c r="B6">
        <v>0.15</v>
      </c>
      <c r="C6">
        <v>0.1</v>
      </c>
      <c r="D6">
        <v>0.15</v>
      </c>
      <c r="E6">
        <v>0.1</v>
      </c>
      <c r="F6">
        <v>1</v>
      </c>
      <c r="G6">
        <v>0.05</v>
      </c>
      <c r="H6">
        <v>0.1</v>
      </c>
      <c r="I6">
        <v>0.05</v>
      </c>
    </row>
    <row r="7">
      <c r="A7" t="str">
        <v>Catastrophe</v>
      </c>
      <c r="B7">
        <v>0.2</v>
      </c>
      <c r="C7">
        <v>0.25</v>
      </c>
      <c r="D7">
        <v>0.1</v>
      </c>
      <c r="E7">
        <v>0.15</v>
      </c>
      <c r="F7">
        <v>0.05</v>
      </c>
      <c r="G7">
        <v>1</v>
      </c>
      <c r="H7">
        <v>0.1</v>
      </c>
      <c r="I7">
        <v>0.05</v>
      </c>
    </row>
    <row r="8">
      <c r="A8" t="str">
        <v>Interest Rate</v>
      </c>
      <c r="B8">
        <v>0.3</v>
      </c>
      <c r="C8">
        <v>0.2</v>
      </c>
      <c r="D8">
        <v>0.35</v>
      </c>
      <c r="E8">
        <v>0.6</v>
      </c>
      <c r="F8">
        <v>0.1</v>
      </c>
      <c r="G8">
        <v>0.1</v>
      </c>
      <c r="H8">
        <v>1</v>
      </c>
      <c r="I8">
        <v>0.2</v>
      </c>
    </row>
    <row r="9">
      <c r="A9" t="str">
        <v>Liquidity</v>
      </c>
      <c r="B9">
        <v>0.1</v>
      </c>
      <c r="C9">
        <v>0.1</v>
      </c>
      <c r="D9">
        <v>0.3</v>
      </c>
      <c r="E9">
        <v>0.25</v>
      </c>
      <c r="F9">
        <v>0.05</v>
      </c>
      <c r="G9">
        <v>0.05</v>
      </c>
      <c r="H9">
        <v>0.2</v>
      </c>
      <c r="I9">
        <v>1</v>
      </c>
    </row>
  </sheetData>
  <ignoredErrors>
    <ignoredError numberStoredAsText="1" sqref="A1:I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LOB</v>
      </c>
      <c r="B1" t="str">
        <v>Exposure</v>
      </c>
      <c r="C1" t="str">
        <v>Factor</v>
      </c>
      <c r="D1" t="str">
        <v>Base Charge</v>
      </c>
      <c r="E1" t="str">
        <v>Stressed Charge</v>
      </c>
      <c r="F1" t="str">
        <v>Net of Reins</v>
      </c>
    </row>
    <row r="2">
      <c r="A2" t="str">
        <v>Auto</v>
      </c>
      <c r="B2">
        <f>[reserve-model.xlsx]'Reserve Summary'!J2</f>
        <v>0</v>
      </c>
      <c r="C2">
        <f>ResRiskCV*(1+0.01)</f>
        <v>0</v>
      </c>
      <c r="D2">
        <f>'Risk Reserve'!B2*'Risk Reserve'!C2</f>
        <v>0</v>
      </c>
      <c r="E2">
        <f>'Risk Reserve'!D2*1.5</f>
        <v>0</v>
      </c>
      <c r="F2">
        <f>'Risk Reserve'!D2*(1-[reinsurance-model.xlsx]'Treaty Structure'!F2)</f>
        <v>0</v>
      </c>
    </row>
    <row r="3">
      <c r="A3" t="str">
        <v>GL</v>
      </c>
      <c r="B3">
        <f>[reserve-model.xlsx]'Reserve Summary'!J3</f>
        <v>0</v>
      </c>
      <c r="C3">
        <f>ResRiskCV*(1+0.02)</f>
        <v>0</v>
      </c>
      <c r="D3">
        <f>'Risk Reserve'!B3*'Risk Reserve'!C3</f>
        <v>0</v>
      </c>
      <c r="E3">
        <f>'Risk Reserve'!D3*1.5</f>
        <v>0</v>
      </c>
      <c r="F3">
        <f>'Risk Reserve'!D3*(1-[reinsurance-model.xlsx]'Treaty Structure'!F2)</f>
        <v>0</v>
      </c>
    </row>
    <row r="4">
      <c r="A4" t="str">
        <v>WC</v>
      </c>
      <c r="B4">
        <f>[reserve-model.xlsx]'Reserve Summary'!J4</f>
        <v>0</v>
      </c>
      <c r="C4">
        <f>ResRiskCV*(1+0.03)</f>
        <v>0</v>
      </c>
      <c r="D4">
        <f>'Risk Reserve'!B4*'Risk Reserve'!C4</f>
        <v>0</v>
      </c>
      <c r="E4">
        <f>'Risk Reserve'!D4*1.5</f>
        <v>0</v>
      </c>
      <c r="F4">
        <f>'Risk Reserve'!D4*(1-[reinsurance-model.xlsx]'Treaty Structure'!F2)</f>
        <v>0</v>
      </c>
    </row>
    <row r="5">
      <c r="A5" t="str">
        <v>Property</v>
      </c>
      <c r="B5">
        <f>[reserve-model.xlsx]'Reserve Summary'!J5</f>
        <v>0</v>
      </c>
      <c r="C5">
        <f>ResRiskCV*(1+0.04)</f>
        <v>0</v>
      </c>
      <c r="D5">
        <f>'Risk Reserve'!B5*'Risk Reserve'!C5</f>
        <v>0</v>
      </c>
      <c r="E5">
        <f>'Risk Reserve'!D5*1.5</f>
        <v>0</v>
      </c>
      <c r="F5">
        <f>'Risk Reserve'!D5*(1-[reinsurance-model.xlsx]'Treaty Structure'!F2)</f>
        <v>0</v>
      </c>
    </row>
    <row r="6">
      <c r="A6" t="str">
        <v>Professional</v>
      </c>
      <c r="B6">
        <f>[reserve-model.xlsx]'Reserve Summary'!J6</f>
        <v>0</v>
      </c>
      <c r="C6">
        <f>ResRiskCV*(1+0.05)</f>
        <v>0</v>
      </c>
      <c r="D6">
        <f>'Risk Reserve'!B6*'Risk Reserve'!C6</f>
        <v>0</v>
      </c>
      <c r="E6">
        <f>'Risk Reserve'!D6*1.5</f>
        <v>0</v>
      </c>
      <c r="F6">
        <f>'Risk Reserve'!D6*(1-[reinsurance-model.xlsx]'Treaty Structure'!F2)</f>
        <v>0</v>
      </c>
    </row>
    <row r="7">
      <c r="A7" t="str">
        <v>Umbrella</v>
      </c>
      <c r="B7">
        <f>[reserve-model.xlsx]'Reserve Summary'!J7</f>
        <v>0</v>
      </c>
      <c r="C7">
        <f>ResRiskCV*(1+0.06)</f>
        <v>0</v>
      </c>
      <c r="D7">
        <f>'Risk Reserve'!B7*'Risk Reserve'!C7</f>
        <v>0</v>
      </c>
      <c r="E7">
        <f>'Risk Reserve'!D7*1.5</f>
        <v>0</v>
      </c>
      <c r="F7">
        <f>'Risk Reserve'!D7*(1-[reinsurance-model.xlsx]'Treaty Structure'!F2)</f>
        <v>0</v>
      </c>
    </row>
    <row r="8">
      <c r="A8" t="str">
        <v>TOTAL</v>
      </c>
      <c r="B8">
        <f>SUM(B2:B7)</f>
        <v>0</v>
      </c>
      <c r="D8">
        <f>SUM(D2:D7)</f>
        <v>0</v>
      </c>
      <c r="E8">
        <f>SUM(E2:E7)</f>
        <v>0</v>
      </c>
      <c r="F8">
        <f>SUM(F2:F7)</f>
        <v>0</v>
      </c>
    </row>
  </sheetData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LOB</v>
      </c>
      <c r="B1" t="str">
        <v>Exposure</v>
      </c>
      <c r="C1" t="str">
        <v>Factor</v>
      </c>
      <c r="D1" t="str">
        <v>Base Charge</v>
      </c>
      <c r="E1" t="str">
        <v>Stressed Charge</v>
      </c>
      <c r="F1" t="str">
        <v>Net of Reins</v>
      </c>
    </row>
    <row r="2">
      <c r="A2" t="str">
        <v>Auto</v>
      </c>
      <c r="B2">
        <f>[financial-projection.xlsx]'Consolidated P&amp;L'!J2</f>
        <v>0</v>
      </c>
      <c r="C2">
        <f>PremRiskCV*(1+0.01)</f>
        <v>0</v>
      </c>
      <c r="D2">
        <f>'Risk Premium'!B2*'Risk Premium'!C2</f>
        <v>0</v>
      </c>
      <c r="E2">
        <f>'Risk Premium'!D2*1.5</f>
        <v>0</v>
      </c>
      <c r="F2">
        <f>'Risk Premium'!D2*(1-[reinsurance-model.xlsx]'Treaty Structure'!F2)</f>
        <v>0</v>
      </c>
    </row>
    <row r="3">
      <c r="A3" t="str">
        <v>GL</v>
      </c>
      <c r="B3">
        <f>[financial-projection.xlsx]'Consolidated P&amp;L'!J3</f>
        <v>0</v>
      </c>
      <c r="C3">
        <f>PremRiskCV*(1+0.02)</f>
        <v>0</v>
      </c>
      <c r="D3">
        <f>'Risk Premium'!B3*'Risk Premium'!C3</f>
        <v>0</v>
      </c>
      <c r="E3">
        <f>'Risk Premium'!D3*1.5</f>
        <v>0</v>
      </c>
      <c r="F3">
        <f>'Risk Premium'!D3*(1-[reinsurance-model.xlsx]'Treaty Structure'!F2)</f>
        <v>0</v>
      </c>
    </row>
    <row r="4">
      <c r="A4" t="str">
        <v>WC</v>
      </c>
      <c r="B4">
        <f>[financial-projection.xlsx]'Consolidated P&amp;L'!J4</f>
        <v>0</v>
      </c>
      <c r="C4">
        <f>PremRiskCV*(1+0.03)</f>
        <v>0</v>
      </c>
      <c r="D4">
        <f>'Risk Premium'!B4*'Risk Premium'!C4</f>
        <v>0</v>
      </c>
      <c r="E4">
        <f>'Risk Premium'!D4*1.5</f>
        <v>0</v>
      </c>
      <c r="F4">
        <f>'Risk Premium'!D4*(1-[reinsurance-model.xlsx]'Treaty Structure'!F2)</f>
        <v>0</v>
      </c>
    </row>
    <row r="5">
      <c r="A5" t="str">
        <v>Property</v>
      </c>
      <c r="B5">
        <f>[financial-projection.xlsx]'Consolidated P&amp;L'!J5</f>
        <v>0</v>
      </c>
      <c r="C5">
        <f>PremRiskCV*(1+0.04)</f>
        <v>0</v>
      </c>
      <c r="D5">
        <f>'Risk Premium'!B5*'Risk Premium'!C5</f>
        <v>0</v>
      </c>
      <c r="E5">
        <f>'Risk Premium'!D5*1.5</f>
        <v>0</v>
      </c>
      <c r="F5">
        <f>'Risk Premium'!D5*(1-[reinsurance-model.xlsx]'Treaty Structure'!F2)</f>
        <v>0</v>
      </c>
    </row>
    <row r="6">
      <c r="A6" t="str">
        <v>Professional</v>
      </c>
      <c r="B6">
        <f>[financial-projection.xlsx]'Consolidated P&amp;L'!J6</f>
        <v>0</v>
      </c>
      <c r="C6">
        <f>PremRiskCV*(1+0.05)</f>
        <v>0</v>
      </c>
      <c r="D6">
        <f>'Risk Premium'!B6*'Risk Premium'!C6</f>
        <v>0</v>
      </c>
      <c r="E6">
        <f>'Risk Premium'!D6*1.5</f>
        <v>0</v>
      </c>
      <c r="F6">
        <f>'Risk Premium'!D6*(1-[reinsurance-model.xlsx]'Treaty Structure'!F2)</f>
        <v>0</v>
      </c>
    </row>
    <row r="7">
      <c r="A7" t="str">
        <v>Umbrella</v>
      </c>
      <c r="B7">
        <f>[financial-projection.xlsx]'Consolidated P&amp;L'!J7</f>
        <v>0</v>
      </c>
      <c r="C7">
        <f>PremRiskCV*(1+0.06)</f>
        <v>0</v>
      </c>
      <c r="D7">
        <f>'Risk Premium'!B7*'Risk Premium'!C7</f>
        <v>0</v>
      </c>
      <c r="E7">
        <f>'Risk Premium'!D7*1.5</f>
        <v>0</v>
      </c>
      <c r="F7">
        <f>'Risk Premium'!D7*(1-[reinsurance-model.xlsx]'Treaty Structure'!F2)</f>
        <v>0</v>
      </c>
    </row>
    <row r="8">
      <c r="A8" t="str">
        <v>TOTAL</v>
      </c>
      <c r="B8">
        <f>SUM(B2:B7)</f>
        <v>0</v>
      </c>
      <c r="D8">
        <f>SUM(D2:D7)</f>
        <v>0</v>
      </c>
      <c r="E8">
        <f>SUM(E2:E7)</f>
        <v>0</v>
      </c>
      <c r="F8">
        <f>SUM(F2:F7)</f>
        <v>0</v>
      </c>
    </row>
  </sheetData>
  <ignoredErrors>
    <ignoredError numberStoredAsText="1" sqref="A1:F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LOB</v>
      </c>
      <c r="B1" t="str">
        <v>Exposure</v>
      </c>
      <c r="C1" t="str">
        <v>Factor</v>
      </c>
      <c r="D1" t="str">
        <v>Base Charge</v>
      </c>
      <c r="E1" t="str">
        <v>Stressed Charge</v>
      </c>
      <c r="F1" t="str">
        <v>Net of Reins</v>
      </c>
    </row>
    <row r="2">
      <c r="A2" t="str">
        <v>Auto</v>
      </c>
      <c r="B2">
        <v>2650475</v>
      </c>
      <c r="C2">
        <v>0.122</v>
      </c>
      <c r="D2">
        <f>'Risk Credit'!B2*'Risk Credit'!C2</f>
        <v>0</v>
      </c>
      <c r="E2">
        <f>'Risk Credit'!D2*1.5</f>
        <v>0</v>
      </c>
      <c r="F2">
        <f>'Risk Credit'!D2*(1-[reinsurance-model.xlsx]'Treaty Structure'!F2)</f>
        <v>0</v>
      </c>
    </row>
    <row r="3">
      <c r="A3" t="str">
        <v>GL</v>
      </c>
      <c r="B3">
        <v>3257893</v>
      </c>
      <c r="C3">
        <v>0.112</v>
      </c>
      <c r="D3">
        <f>'Risk Credit'!B3*'Risk Credit'!C3</f>
        <v>0</v>
      </c>
      <c r="E3">
        <f>'Risk Credit'!D3*1.5</f>
        <v>0</v>
      </c>
      <c r="F3">
        <f>'Risk Credit'!D3*(1-[reinsurance-model.xlsx]'Treaty Structure'!F2)</f>
        <v>0</v>
      </c>
    </row>
    <row r="4">
      <c r="A4" t="str">
        <v>WC</v>
      </c>
      <c r="B4">
        <v>3396628</v>
      </c>
      <c r="C4">
        <v>0.123</v>
      </c>
      <c r="D4">
        <f>'Risk Credit'!B4*'Risk Credit'!C4</f>
        <v>0</v>
      </c>
      <c r="E4">
        <f>'Risk Credit'!D4*1.5</f>
        <v>0</v>
      </c>
      <c r="F4">
        <f>'Risk Credit'!D4*(1-[reinsurance-model.xlsx]'Treaty Structure'!F2)</f>
        <v>0</v>
      </c>
    </row>
    <row r="5">
      <c r="A5" t="str">
        <v>Property</v>
      </c>
      <c r="B5">
        <v>3737133</v>
      </c>
      <c r="C5">
        <v>0.097</v>
      </c>
      <c r="D5">
        <f>'Risk Credit'!B5*'Risk Credit'!C5</f>
        <v>0</v>
      </c>
      <c r="E5">
        <f>'Risk Credit'!D5*1.5</f>
        <v>0</v>
      </c>
      <c r="F5">
        <f>'Risk Credit'!D5*(1-[reinsurance-model.xlsx]'Treaty Structure'!F2)</f>
        <v>0</v>
      </c>
    </row>
    <row r="6">
      <c r="A6" t="str">
        <v>Professional</v>
      </c>
      <c r="B6">
        <v>4193042</v>
      </c>
      <c r="C6">
        <v>0.124</v>
      </c>
      <c r="D6">
        <f>'Risk Credit'!B6*'Risk Credit'!C6</f>
        <v>0</v>
      </c>
      <c r="E6">
        <f>'Risk Credit'!D6*1.5</f>
        <v>0</v>
      </c>
      <c r="F6">
        <f>'Risk Credit'!D6*(1-[reinsurance-model.xlsx]'Treaty Structure'!F2)</f>
        <v>0</v>
      </c>
    </row>
    <row r="7">
      <c r="A7" t="str">
        <v>Umbrella</v>
      </c>
      <c r="B7">
        <v>4688597</v>
      </c>
      <c r="C7">
        <v>0.095</v>
      </c>
      <c r="D7">
        <f>'Risk Credit'!B7*'Risk Credit'!C7</f>
        <v>0</v>
      </c>
      <c r="E7">
        <f>'Risk Credit'!D7*1.5</f>
        <v>0</v>
      </c>
      <c r="F7">
        <f>'Risk Credit'!D7*(1-[reinsurance-model.xlsx]'Treaty Structure'!F2)</f>
        <v>0</v>
      </c>
    </row>
    <row r="8">
      <c r="A8" t="str">
        <v>TOTAL</v>
      </c>
      <c r="B8">
        <f>SUM(B2:B7)</f>
        <v>0</v>
      </c>
      <c r="D8">
        <f>SUM(D2:D7)</f>
        <v>0</v>
      </c>
      <c r="E8">
        <f>SUM(E2:E7)</f>
        <v>0</v>
      </c>
      <c r="F8">
        <f>SUM(F2:F7)</f>
        <v>0</v>
      </c>
    </row>
  </sheetData>
  <ignoredErrors>
    <ignoredError numberStoredAsText="1" sqref="A1:F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LOB</v>
      </c>
      <c r="B1" t="str">
        <v>Exposure</v>
      </c>
      <c r="C1" t="str">
        <v>Factor</v>
      </c>
      <c r="D1" t="str">
        <v>Base Charge</v>
      </c>
      <c r="E1" t="str">
        <v>Stressed Charge</v>
      </c>
      <c r="F1" t="str">
        <v>Net of Reins</v>
      </c>
    </row>
    <row r="2">
      <c r="A2" t="str">
        <v>Auto</v>
      </c>
      <c r="B2">
        <v>2054350</v>
      </c>
      <c r="C2">
        <v>0.143</v>
      </c>
      <c r="D2">
        <f>'Risk Market'!B2*'Risk Market'!C2</f>
        <v>0</v>
      </c>
      <c r="E2">
        <f>'Risk Market'!D2*1.5</f>
        <v>0</v>
      </c>
      <c r="F2">
        <f>'Risk Market'!D2*(1-[reinsurance-model.xlsx]'Treaty Structure'!F2)</f>
        <v>0</v>
      </c>
    </row>
    <row r="3">
      <c r="A3" t="str">
        <v>GL</v>
      </c>
      <c r="B3">
        <v>2848210</v>
      </c>
      <c r="C3">
        <v>0.151</v>
      </c>
      <c r="D3">
        <f>'Risk Market'!B3*'Risk Market'!C3</f>
        <v>0</v>
      </c>
      <c r="E3">
        <f>'Risk Market'!D3*1.5</f>
        <v>0</v>
      </c>
      <c r="F3">
        <f>'Risk Market'!D3*(1-[reinsurance-model.xlsx]'Treaty Structure'!F2)</f>
        <v>0</v>
      </c>
    </row>
    <row r="4">
      <c r="A4" t="str">
        <v>WC</v>
      </c>
      <c r="B4">
        <v>3010561</v>
      </c>
      <c r="C4">
        <v>0.131</v>
      </c>
      <c r="D4">
        <f>'Risk Market'!B4*'Risk Market'!C4</f>
        <v>0</v>
      </c>
      <c r="E4">
        <f>'Risk Market'!D4*1.5</f>
        <v>0</v>
      </c>
      <c r="F4">
        <f>'Risk Market'!D4*(1-[reinsurance-model.xlsx]'Treaty Structure'!F2)</f>
        <v>0</v>
      </c>
    </row>
    <row r="5">
      <c r="A5" t="str">
        <v>Property</v>
      </c>
      <c r="B5">
        <v>4442954</v>
      </c>
      <c r="C5">
        <v>0.159</v>
      </c>
      <c r="D5">
        <f>'Risk Market'!B5*'Risk Market'!C5</f>
        <v>0</v>
      </c>
      <c r="E5">
        <f>'Risk Market'!D5*1.5</f>
        <v>0</v>
      </c>
      <c r="F5">
        <f>'Risk Market'!D5*(1-[reinsurance-model.xlsx]'Treaty Structure'!F2)</f>
        <v>0</v>
      </c>
    </row>
    <row r="6">
      <c r="A6" t="str">
        <v>Professional</v>
      </c>
      <c r="B6">
        <v>4322834</v>
      </c>
      <c r="C6">
        <v>0.136</v>
      </c>
      <c r="D6">
        <f>'Risk Market'!B6*'Risk Market'!C6</f>
        <v>0</v>
      </c>
      <c r="E6">
        <f>'Risk Market'!D6*1.5</f>
        <v>0</v>
      </c>
      <c r="F6">
        <f>'Risk Market'!D6*(1-[reinsurance-model.xlsx]'Treaty Structure'!F2)</f>
        <v>0</v>
      </c>
    </row>
    <row r="7">
      <c r="A7" t="str">
        <v>Umbrella</v>
      </c>
      <c r="B7">
        <v>4528313</v>
      </c>
      <c r="C7">
        <v>0.147</v>
      </c>
      <c r="D7">
        <f>'Risk Market'!B7*'Risk Market'!C7</f>
        <v>0</v>
      </c>
      <c r="E7">
        <f>'Risk Market'!D7*1.5</f>
        <v>0</v>
      </c>
      <c r="F7">
        <f>'Risk Market'!D7*(1-[reinsurance-model.xlsx]'Treaty Structure'!F2)</f>
        <v>0</v>
      </c>
    </row>
    <row r="8">
      <c r="A8" t="str">
        <v>TOTAL</v>
      </c>
      <c r="B8">
        <f>SUM(B2:B7)</f>
        <v>0</v>
      </c>
      <c r="D8">
        <f>SUM(D2:D7)</f>
        <v>0</v>
      </c>
      <c r="E8">
        <f>SUM(E2:E7)</f>
        <v>0</v>
      </c>
      <c r="F8">
        <f>SUM(F2:F7)</f>
        <v>0</v>
      </c>
    </row>
  </sheetData>
  <ignoredErrors>
    <ignoredError numberStoredAsText="1" sqref="A1:F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LOB</v>
      </c>
      <c r="B1" t="str">
        <v>Exposure</v>
      </c>
      <c r="C1" t="str">
        <v>Factor</v>
      </c>
      <c r="D1" t="str">
        <v>Base Charge</v>
      </c>
      <c r="E1" t="str">
        <v>Stressed Charge</v>
      </c>
      <c r="F1" t="str">
        <v>Net of Reins</v>
      </c>
    </row>
    <row r="2">
      <c r="A2" t="str">
        <v>Auto</v>
      </c>
      <c r="B2">
        <v>2483237</v>
      </c>
      <c r="C2">
        <v>0.16</v>
      </c>
      <c r="D2">
        <f>'Risk Operational'!B2*'Risk Operational'!C2</f>
        <v>0</v>
      </c>
      <c r="E2">
        <f>'Risk Operational'!D2*1.5</f>
        <v>0</v>
      </c>
      <c r="F2">
        <f>'Risk Operational'!D2*(1-[reinsurance-model.xlsx]'Treaty Structure'!F2)</f>
        <v>0</v>
      </c>
    </row>
    <row r="3">
      <c r="A3" t="str">
        <v>GL</v>
      </c>
      <c r="B3">
        <v>3016693</v>
      </c>
      <c r="C3">
        <v>0.171</v>
      </c>
      <c r="D3">
        <f>'Risk Operational'!B3*'Risk Operational'!C3</f>
        <v>0</v>
      </c>
      <c r="E3">
        <f>'Risk Operational'!D3*1.5</f>
        <v>0</v>
      </c>
      <c r="F3">
        <f>'Risk Operational'!D3*(1-[reinsurance-model.xlsx]'Treaty Structure'!F2)</f>
        <v>0</v>
      </c>
    </row>
    <row r="4">
      <c r="A4" t="str">
        <v>WC</v>
      </c>
      <c r="B4">
        <v>3189255</v>
      </c>
      <c r="C4">
        <v>0.158</v>
      </c>
      <c r="D4">
        <f>'Risk Operational'!B4*'Risk Operational'!C4</f>
        <v>0</v>
      </c>
      <c r="E4">
        <f>'Risk Operational'!D4*1.5</f>
        <v>0</v>
      </c>
      <c r="F4">
        <f>'Risk Operational'!D4*(1-[reinsurance-model.xlsx]'Treaty Structure'!F2)</f>
        <v>0</v>
      </c>
    </row>
    <row r="5">
      <c r="A5" t="str">
        <v>Property</v>
      </c>
      <c r="B5">
        <v>4040455</v>
      </c>
      <c r="C5">
        <v>0.152</v>
      </c>
      <c r="D5">
        <f>'Risk Operational'!B5*'Risk Operational'!C5</f>
        <v>0</v>
      </c>
      <c r="E5">
        <f>'Risk Operational'!D5*1.5</f>
        <v>0</v>
      </c>
      <c r="F5">
        <f>'Risk Operational'!D5*(1-[reinsurance-model.xlsx]'Treaty Structure'!F2)</f>
        <v>0</v>
      </c>
    </row>
    <row r="6">
      <c r="A6" t="str">
        <v>Professional</v>
      </c>
      <c r="B6">
        <v>4243024</v>
      </c>
      <c r="C6">
        <v>0.161</v>
      </c>
      <c r="D6">
        <f>'Risk Operational'!B6*'Risk Operational'!C6</f>
        <v>0</v>
      </c>
      <c r="E6">
        <f>'Risk Operational'!D6*1.5</f>
        <v>0</v>
      </c>
      <c r="F6">
        <f>'Risk Operational'!D6*(1-[reinsurance-model.xlsx]'Treaty Structure'!F2)</f>
        <v>0</v>
      </c>
    </row>
    <row r="7">
      <c r="A7" t="str">
        <v>Umbrella</v>
      </c>
      <c r="B7">
        <v>4733789</v>
      </c>
      <c r="C7">
        <v>0.167</v>
      </c>
      <c r="D7">
        <f>'Risk Operational'!B7*'Risk Operational'!C7</f>
        <v>0</v>
      </c>
      <c r="E7">
        <f>'Risk Operational'!D7*1.5</f>
        <v>0</v>
      </c>
      <c r="F7">
        <f>'Risk Operational'!D7*(1-[reinsurance-model.xlsx]'Treaty Structure'!F2)</f>
        <v>0</v>
      </c>
    </row>
    <row r="8">
      <c r="A8" t="str">
        <v>TOTAL</v>
      </c>
      <c r="B8">
        <f>SUM(B2:B7)</f>
        <v>0</v>
      </c>
      <c r="D8">
        <f>SUM(D2:D7)</f>
        <v>0</v>
      </c>
      <c r="E8">
        <f>SUM(E2:E7)</f>
        <v>0</v>
      </c>
      <c r="F8">
        <f>SUM(F2:F7)</f>
        <v>0</v>
      </c>
    </row>
  </sheetData>
  <ignoredErrors>
    <ignoredError numberStoredAsText="1" sqref="A1:F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LOB</v>
      </c>
      <c r="B1" t="str">
        <v>Exposure</v>
      </c>
      <c r="C1" t="str">
        <v>Factor</v>
      </c>
      <c r="D1" t="str">
        <v>Base Charge</v>
      </c>
      <c r="E1" t="str">
        <v>Stressed Charge</v>
      </c>
      <c r="F1" t="str">
        <v>Net of Reins</v>
      </c>
    </row>
    <row r="2">
      <c r="A2" t="str">
        <v>Auto</v>
      </c>
      <c r="B2">
        <f>CatPML*0.15</f>
        <v>0</v>
      </c>
      <c r="C2">
        <v>0.152</v>
      </c>
      <c r="D2">
        <f>'Risk Catastrophe'!B2*'Risk Catastrophe'!C2</f>
        <v>0</v>
      </c>
      <c r="E2">
        <f>'Risk Catastrophe'!D2*1.5</f>
        <v>0</v>
      </c>
      <c r="F2">
        <f>'Risk Catastrophe'!D2*(1-[reinsurance-model.xlsx]'Treaty Structure'!F2)</f>
        <v>0</v>
      </c>
    </row>
    <row r="3">
      <c r="A3" t="str">
        <v>GL</v>
      </c>
      <c r="B3">
        <f>CatPML*0.16</f>
        <v>0</v>
      </c>
      <c r="C3">
        <v>0.162</v>
      </c>
      <c r="D3">
        <f>'Risk Catastrophe'!B3*'Risk Catastrophe'!C3</f>
        <v>0</v>
      </c>
      <c r="E3">
        <f>'Risk Catastrophe'!D3*1.5</f>
        <v>0</v>
      </c>
      <c r="F3">
        <f>'Risk Catastrophe'!D3*(1-[reinsurance-model.xlsx]'Treaty Structure'!F2)</f>
        <v>0</v>
      </c>
    </row>
    <row r="4">
      <c r="A4" t="str">
        <v>WC</v>
      </c>
      <c r="B4">
        <f>CatPML*0.17</f>
        <v>0</v>
      </c>
      <c r="C4">
        <v>0.184</v>
      </c>
      <c r="D4">
        <f>'Risk Catastrophe'!B4*'Risk Catastrophe'!C4</f>
        <v>0</v>
      </c>
      <c r="E4">
        <f>'Risk Catastrophe'!D4*1.5</f>
        <v>0</v>
      </c>
      <c r="F4">
        <f>'Risk Catastrophe'!D4*(1-[reinsurance-model.xlsx]'Treaty Structure'!F2)</f>
        <v>0</v>
      </c>
    </row>
    <row r="5">
      <c r="A5" t="str">
        <v>Property</v>
      </c>
      <c r="B5">
        <f>CatPML*0.18</f>
        <v>0</v>
      </c>
      <c r="C5">
        <v>0.161</v>
      </c>
      <c r="D5">
        <f>'Risk Catastrophe'!B5*'Risk Catastrophe'!C5</f>
        <v>0</v>
      </c>
      <c r="E5">
        <f>'Risk Catastrophe'!D5*1.5</f>
        <v>0</v>
      </c>
      <c r="F5">
        <f>'Risk Catastrophe'!D5*(1-[reinsurance-model.xlsx]'Treaty Structure'!F2)</f>
        <v>0</v>
      </c>
    </row>
    <row r="6">
      <c r="A6" t="str">
        <v>Professional</v>
      </c>
      <c r="B6">
        <f>CatPML*0.19</f>
        <v>0</v>
      </c>
      <c r="C6">
        <v>0.166</v>
      </c>
      <c r="D6">
        <f>'Risk Catastrophe'!B6*'Risk Catastrophe'!C6</f>
        <v>0</v>
      </c>
      <c r="E6">
        <f>'Risk Catastrophe'!D6*1.5</f>
        <v>0</v>
      </c>
      <c r="F6">
        <f>'Risk Catastrophe'!D6*(1-[reinsurance-model.xlsx]'Treaty Structure'!F2)</f>
        <v>0</v>
      </c>
    </row>
    <row r="7">
      <c r="A7" t="str">
        <v>Umbrella</v>
      </c>
      <c r="B7">
        <f>CatPML*0.20</f>
        <v>0</v>
      </c>
      <c r="C7">
        <v>0.192</v>
      </c>
      <c r="D7">
        <f>'Risk Catastrophe'!B7*'Risk Catastrophe'!C7</f>
        <v>0</v>
      </c>
      <c r="E7">
        <f>'Risk Catastrophe'!D7*1.5</f>
        <v>0</v>
      </c>
      <c r="F7">
        <f>'Risk Catastrophe'!D7*(1-[reinsurance-model.xlsx]'Treaty Structure'!F2)</f>
        <v>0</v>
      </c>
    </row>
    <row r="8">
      <c r="A8" t="str">
        <v>TOTAL</v>
      </c>
      <c r="B8">
        <f>SUM(B2:B7)</f>
        <v>0</v>
      </c>
      <c r="D8">
        <f>SUM(D2:D7)</f>
        <v>0</v>
      </c>
      <c r="E8">
        <f>SUM(E2:E7)</f>
        <v>0</v>
      </c>
      <c r="F8">
        <f>SUM(F2:F7)</f>
        <v>0</v>
      </c>
    </row>
  </sheetData>
  <ignoredErrors>
    <ignoredError numberStoredAsText="1" sqref="A1:F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LOB</v>
      </c>
      <c r="B1" t="str">
        <v>Exposure</v>
      </c>
      <c r="C1" t="str">
        <v>Factor</v>
      </c>
      <c r="D1" t="str">
        <v>Base Charge</v>
      </c>
      <c r="E1" t="str">
        <v>Stressed Charge</v>
      </c>
      <c r="F1" t="str">
        <v>Net of Reins</v>
      </c>
    </row>
    <row r="2">
      <c r="A2" t="str">
        <v>Auto</v>
      </c>
      <c r="B2">
        <v>2341524</v>
      </c>
      <c r="C2">
        <v>0.178</v>
      </c>
      <c r="D2">
        <f>'Risk Interest Rate'!B2*'Risk Interest Rate'!C2</f>
        <v>0</v>
      </c>
      <c r="E2">
        <f>'Risk Interest Rate'!D2*1.5</f>
        <v>0</v>
      </c>
      <c r="F2">
        <f>'Risk Interest Rate'!D2*(1-[reinsurance-model.xlsx]'Treaty Structure'!F2)</f>
        <v>0</v>
      </c>
    </row>
    <row r="3">
      <c r="A3" t="str">
        <v>GL</v>
      </c>
      <c r="B3">
        <v>2714072</v>
      </c>
      <c r="C3">
        <v>0.172</v>
      </c>
      <c r="D3">
        <f>'Risk Interest Rate'!B3*'Risk Interest Rate'!C3</f>
        <v>0</v>
      </c>
      <c r="E3">
        <f>'Risk Interest Rate'!D3*1.5</f>
        <v>0</v>
      </c>
      <c r="F3">
        <f>'Risk Interest Rate'!D3*(1-[reinsurance-model.xlsx]'Treaty Structure'!F2)</f>
        <v>0</v>
      </c>
    </row>
    <row r="4">
      <c r="A4" t="str">
        <v>WC</v>
      </c>
      <c r="B4">
        <v>3234508</v>
      </c>
      <c r="C4">
        <v>0.215</v>
      </c>
      <c r="D4">
        <f>'Risk Interest Rate'!B4*'Risk Interest Rate'!C4</f>
        <v>0</v>
      </c>
      <c r="E4">
        <f>'Risk Interest Rate'!D4*1.5</f>
        <v>0</v>
      </c>
      <c r="F4">
        <f>'Risk Interest Rate'!D4*(1-[reinsurance-model.xlsx]'Treaty Structure'!F2)</f>
        <v>0</v>
      </c>
    </row>
    <row r="5">
      <c r="A5" t="str">
        <v>Property</v>
      </c>
      <c r="B5">
        <v>4113395</v>
      </c>
      <c r="C5">
        <v>0.218</v>
      </c>
      <c r="D5">
        <f>'Risk Interest Rate'!B5*'Risk Interest Rate'!C5</f>
        <v>0</v>
      </c>
      <c r="E5">
        <f>'Risk Interest Rate'!D5*1.5</f>
        <v>0</v>
      </c>
      <c r="F5">
        <f>'Risk Interest Rate'!D5*(1-[reinsurance-model.xlsx]'Treaty Structure'!F2)</f>
        <v>0</v>
      </c>
    </row>
    <row r="6">
      <c r="A6" t="str">
        <v>Professional</v>
      </c>
      <c r="B6">
        <v>4966026</v>
      </c>
      <c r="C6">
        <v>0.183</v>
      </c>
      <c r="D6">
        <f>'Risk Interest Rate'!B6*'Risk Interest Rate'!C6</f>
        <v>0</v>
      </c>
      <c r="E6">
        <f>'Risk Interest Rate'!D6*1.5</f>
        <v>0</v>
      </c>
      <c r="F6">
        <f>'Risk Interest Rate'!D6*(1-[reinsurance-model.xlsx]'Treaty Structure'!F2)</f>
        <v>0</v>
      </c>
    </row>
    <row r="7">
      <c r="A7" t="str">
        <v>Umbrella</v>
      </c>
      <c r="B7">
        <v>5105980</v>
      </c>
      <c r="C7">
        <v>0.215</v>
      </c>
      <c r="D7">
        <f>'Risk Interest Rate'!B7*'Risk Interest Rate'!C7</f>
        <v>0</v>
      </c>
      <c r="E7">
        <f>'Risk Interest Rate'!D7*1.5</f>
        <v>0</v>
      </c>
      <c r="F7">
        <f>'Risk Interest Rate'!D7*(1-[reinsurance-model.xlsx]'Treaty Structure'!F2)</f>
        <v>0</v>
      </c>
    </row>
    <row r="8">
      <c r="A8" t="str">
        <v>TOTAL</v>
      </c>
      <c r="B8">
        <f>SUM(B2:B7)</f>
        <v>0</v>
      </c>
      <c r="D8">
        <f>SUM(D2:D7)</f>
        <v>0</v>
      </c>
      <c r="E8">
        <f>SUM(E2:E7)</f>
        <v>0</v>
      </c>
      <c r="F8">
        <f>SUM(F2:F7)</f>
        <v>0</v>
      </c>
    </row>
  </sheetData>
  <ignoredErrors>
    <ignoredError numberStoredAsText="1" sqref="A1:F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LOB</v>
      </c>
      <c r="B1" t="str">
        <v>Exposure</v>
      </c>
      <c r="C1" t="str">
        <v>Factor</v>
      </c>
      <c r="D1" t="str">
        <v>Base Charge</v>
      </c>
      <c r="E1" t="str">
        <v>Stressed Charge</v>
      </c>
      <c r="F1" t="str">
        <v>Net of Reins</v>
      </c>
    </row>
    <row r="2">
      <c r="A2" t="str">
        <v>Auto</v>
      </c>
      <c r="B2">
        <v>2263235</v>
      </c>
      <c r="C2">
        <v>0.234</v>
      </c>
      <c r="D2">
        <f>'Risk Liquidity'!B2*'Risk Liquidity'!C2</f>
        <v>0</v>
      </c>
      <c r="E2">
        <f>'Risk Liquidity'!D2*1.5</f>
        <v>0</v>
      </c>
      <c r="F2">
        <f>'Risk Liquidity'!D2*(1-[reinsurance-model.xlsx]'Treaty Structure'!F2)</f>
        <v>0</v>
      </c>
    </row>
    <row r="3">
      <c r="A3" t="str">
        <v>GL</v>
      </c>
      <c r="B3">
        <v>2822119</v>
      </c>
      <c r="C3">
        <v>0.204</v>
      </c>
      <c r="D3">
        <f>'Risk Liquidity'!B3*'Risk Liquidity'!C3</f>
        <v>0</v>
      </c>
      <c r="E3">
        <f>'Risk Liquidity'!D3*1.5</f>
        <v>0</v>
      </c>
      <c r="F3">
        <f>'Risk Liquidity'!D3*(1-[reinsurance-model.xlsx]'Treaty Structure'!F2)</f>
        <v>0</v>
      </c>
    </row>
    <row r="4">
      <c r="A4" t="str">
        <v>WC</v>
      </c>
      <c r="B4">
        <v>3885819</v>
      </c>
      <c r="C4">
        <v>0.223</v>
      </c>
      <c r="D4">
        <f>'Risk Liquidity'!B4*'Risk Liquidity'!C4</f>
        <v>0</v>
      </c>
      <c r="E4">
        <f>'Risk Liquidity'!D4*1.5</f>
        <v>0</v>
      </c>
      <c r="F4">
        <f>'Risk Liquidity'!D4*(1-[reinsurance-model.xlsx]'Treaty Structure'!F2)</f>
        <v>0</v>
      </c>
    </row>
    <row r="5">
      <c r="A5" t="str">
        <v>Property</v>
      </c>
      <c r="B5">
        <v>3591695</v>
      </c>
      <c r="C5">
        <v>0.203</v>
      </c>
      <c r="D5">
        <f>'Risk Liquidity'!B5*'Risk Liquidity'!C5</f>
        <v>0</v>
      </c>
      <c r="E5">
        <f>'Risk Liquidity'!D5*1.5</f>
        <v>0</v>
      </c>
      <c r="F5">
        <f>'Risk Liquidity'!D5*(1-[reinsurance-model.xlsx]'Treaty Structure'!F2)</f>
        <v>0</v>
      </c>
    </row>
    <row r="6">
      <c r="A6" t="str">
        <v>Professional</v>
      </c>
      <c r="B6">
        <v>4292659</v>
      </c>
      <c r="C6">
        <v>0.207</v>
      </c>
      <c r="D6">
        <f>'Risk Liquidity'!B6*'Risk Liquidity'!C6</f>
        <v>0</v>
      </c>
      <c r="E6">
        <f>'Risk Liquidity'!D6*1.5</f>
        <v>0</v>
      </c>
      <c r="F6">
        <f>'Risk Liquidity'!D6*(1-[reinsurance-model.xlsx]'Treaty Structure'!F2)</f>
        <v>0</v>
      </c>
    </row>
    <row r="7">
      <c r="A7" t="str">
        <v>Umbrella</v>
      </c>
      <c r="B7">
        <v>4825119</v>
      </c>
      <c r="C7">
        <v>0.227</v>
      </c>
      <c r="D7">
        <f>'Risk Liquidity'!B7*'Risk Liquidity'!C7</f>
        <v>0</v>
      </c>
      <c r="E7">
        <f>'Risk Liquidity'!D7*1.5</f>
        <v>0</v>
      </c>
      <c r="F7">
        <f>'Risk Liquidity'!D7*(1-[reinsurance-model.xlsx]'Treaty Structure'!F2)</f>
        <v>0</v>
      </c>
    </row>
    <row r="8">
      <c r="A8" t="str">
        <v>TOTAL</v>
      </c>
      <c r="B8">
        <f>SUM(B2:B7)</f>
        <v>0</v>
      </c>
      <c r="D8">
        <f>SUM(D2:D7)</f>
        <v>0</v>
      </c>
      <c r="E8">
        <f>SUM(E2:E7)</f>
        <v>0</v>
      </c>
      <c r="F8">
        <f>SUM(F2:F7)</f>
        <v>0</v>
      </c>
    </row>
  </sheetData>
  <ignoredErrors>
    <ignoredError numberStoredAsText="1" sqref="A1:F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Risk</v>
      </c>
      <c r="B1" t="str">
        <v>Standalone Charge</v>
      </c>
      <c r="C1" t="str">
        <v>Correlation Adj</v>
      </c>
      <c r="D1" t="str">
        <v>Diversified Charge</v>
      </c>
    </row>
    <row r="2">
      <c r="A2" t="str">
        <v>Reserve</v>
      </c>
      <c r="B2">
        <f>'Risk Reserve'!F8</f>
        <v>0</v>
      </c>
      <c r="C2">
        <f>Diversification!B2*CorrScaling</f>
        <v>0</v>
      </c>
      <c r="D2">
        <f>Diversification!C2</f>
        <v>0</v>
      </c>
    </row>
    <row r="3">
      <c r="A3" t="str">
        <v>Premium</v>
      </c>
      <c r="B3">
        <f>'Risk Premium'!F8</f>
        <v>0</v>
      </c>
      <c r="C3">
        <f>Diversification!B3*CorrScaling</f>
        <v>0</v>
      </c>
      <c r="D3">
        <f>Diversification!C3</f>
        <v>0</v>
      </c>
    </row>
    <row r="4">
      <c r="A4" t="str">
        <v>Credit</v>
      </c>
      <c r="B4">
        <f>'Risk Credit'!F8</f>
        <v>0</v>
      </c>
      <c r="C4">
        <f>Diversification!B4*CorrScaling</f>
        <v>0</v>
      </c>
      <c r="D4">
        <f>Diversification!C4</f>
        <v>0</v>
      </c>
    </row>
    <row r="5">
      <c r="A5" t="str">
        <v>Market</v>
      </c>
      <c r="B5">
        <f>'Risk Market'!F8</f>
        <v>0</v>
      </c>
      <c r="C5">
        <f>Diversification!B5*CorrScaling</f>
        <v>0</v>
      </c>
      <c r="D5">
        <f>Diversification!C5</f>
        <v>0</v>
      </c>
    </row>
    <row r="6">
      <c r="A6" t="str">
        <v>Operational</v>
      </c>
      <c r="B6">
        <f>'Risk Operational'!F8</f>
        <v>0</v>
      </c>
      <c r="C6">
        <f>Diversification!B6*CorrScaling</f>
        <v>0</v>
      </c>
      <c r="D6">
        <f>Diversification!C6</f>
        <v>0</v>
      </c>
    </row>
    <row r="7">
      <c r="A7" t="str">
        <v>Catastrophe</v>
      </c>
      <c r="B7">
        <f>'Risk Catastrophe'!F8</f>
        <v>0</v>
      </c>
      <c r="C7">
        <f>Diversification!B7*CorrScaling</f>
        <v>0</v>
      </c>
      <c r="D7">
        <f>Diversification!C7</f>
        <v>0</v>
      </c>
    </row>
    <row r="8">
      <c r="A8" t="str">
        <v>Interest Rate</v>
      </c>
      <c r="B8">
        <f>'Risk Interest Rate'!F8</f>
        <v>0</v>
      </c>
      <c r="C8">
        <f>Diversification!B8*CorrScaling</f>
        <v>0</v>
      </c>
      <c r="D8">
        <f>Diversification!C8</f>
        <v>0</v>
      </c>
    </row>
    <row r="9">
      <c r="A9" t="str">
        <v>Liquidity</v>
      </c>
      <c r="B9">
        <f>'Risk Liquidity'!F8</f>
        <v>0</v>
      </c>
      <c r="C9">
        <f>Diversification!B9*CorrScaling</f>
        <v>0</v>
      </c>
      <c r="D9">
        <f>Diversification!C9</f>
        <v>0</v>
      </c>
    </row>
    <row r="10">
      <c r="A10" t="str">
        <v>TOTAL</v>
      </c>
      <c r="B10">
        <f>SUM(B2:B9)</f>
        <v>0</v>
      </c>
      <c r="C10">
        <f>SUM(C2:C9)</f>
        <v>0</v>
      </c>
      <c r="D10">
        <f>SUM(D2:D9)</f>
        <v>0</v>
      </c>
    </row>
    <row r="11">
      <c r="A11" t="str">
        <v>Diversification Credit</v>
      </c>
      <c r="B11">
        <f>1-Diversification!D10/Diversification!B10</f>
        <v>0</v>
      </c>
    </row>
  </sheetData>
  <ignoredErrors>
    <ignoredError numberStoredAsText="1" sqref="A1:D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Risk</v>
      </c>
      <c r="B1" t="str">
        <v>Base Charge</v>
      </c>
      <c r="C1" t="str">
        <v>Stress Factor</v>
      </c>
      <c r="D1" t="str">
        <v>Stressed Charge</v>
      </c>
      <c r="E1" t="str">
        <v>Impact on Surplus</v>
      </c>
    </row>
    <row r="2">
      <c r="A2" t="str">
        <v>Reserve</v>
      </c>
      <c r="B2">
        <f>Diversification!D2</f>
        <v>0</v>
      </c>
      <c r="C2">
        <v>1</v>
      </c>
      <c r="D2">
        <f>'Stress Base'!B2*'Stress Base'!C2</f>
        <v>0</v>
      </c>
      <c r="E2">
        <f>'Stress Base'!D2-'Stress Base'!B2</f>
        <v>0</v>
      </c>
    </row>
    <row r="3">
      <c r="A3" t="str">
        <v>Premium</v>
      </c>
      <c r="B3">
        <f>Diversification!D3</f>
        <v>0</v>
      </c>
      <c r="C3">
        <v>1.05</v>
      </c>
      <c r="D3">
        <f>'Stress Base'!B3*'Stress Base'!C3</f>
        <v>0</v>
      </c>
      <c r="E3">
        <f>'Stress Base'!D3-'Stress Base'!B3</f>
        <v>0</v>
      </c>
    </row>
    <row r="4">
      <c r="A4" t="str">
        <v>Credit</v>
      </c>
      <c r="B4">
        <f>Diversification!D4</f>
        <v>0</v>
      </c>
      <c r="C4">
        <v>1.1</v>
      </c>
      <c r="D4">
        <f>'Stress Base'!B4*'Stress Base'!C4</f>
        <v>0</v>
      </c>
      <c r="E4">
        <f>'Stress Base'!D4-'Stress Base'!B4</f>
        <v>0</v>
      </c>
    </row>
    <row r="5">
      <c r="A5" t="str">
        <v>Market</v>
      </c>
      <c r="B5">
        <f>Diversification!D5</f>
        <v>0</v>
      </c>
      <c r="C5">
        <v>1.15</v>
      </c>
      <c r="D5">
        <f>'Stress Base'!B5*'Stress Base'!C5</f>
        <v>0</v>
      </c>
      <c r="E5">
        <f>'Stress Base'!D5-'Stress Base'!B5</f>
        <v>0</v>
      </c>
    </row>
    <row r="6">
      <c r="A6" t="str">
        <v>Operational</v>
      </c>
      <c r="B6">
        <f>Diversification!D6</f>
        <v>0</v>
      </c>
      <c r="C6">
        <v>1.2</v>
      </c>
      <c r="D6">
        <f>'Stress Base'!B6*'Stress Base'!C6</f>
        <v>0</v>
      </c>
      <c r="E6">
        <f>'Stress Base'!D6-'Stress Base'!B6</f>
        <v>0</v>
      </c>
    </row>
    <row r="7">
      <c r="A7" t="str">
        <v>Catastrophe</v>
      </c>
      <c r="B7">
        <f>Diversification!D7</f>
        <v>0</v>
      </c>
      <c r="C7">
        <v>1.25</v>
      </c>
      <c r="D7">
        <f>'Stress Base'!B7*'Stress Base'!C7</f>
        <v>0</v>
      </c>
      <c r="E7">
        <f>'Stress Base'!D7-'Stress Base'!B7</f>
        <v>0</v>
      </c>
    </row>
    <row r="8">
      <c r="A8" t="str">
        <v>Interest Rate</v>
      </c>
      <c r="B8">
        <f>Diversification!D8</f>
        <v>0</v>
      </c>
      <c r="C8">
        <v>1.3</v>
      </c>
      <c r="D8">
        <f>'Stress Base'!B8*'Stress Base'!C8</f>
        <v>0</v>
      </c>
      <c r="E8">
        <f>'Stress Base'!D8-'Stress Base'!B8</f>
        <v>0</v>
      </c>
    </row>
    <row r="9">
      <c r="A9" t="str">
        <v>Liquidity</v>
      </c>
      <c r="B9">
        <f>Diversification!D9</f>
        <v>0</v>
      </c>
      <c r="C9">
        <v>1.35</v>
      </c>
      <c r="D9">
        <f>'Stress Base'!B9*'Stress Base'!C9</f>
        <v>0</v>
      </c>
      <c r="E9">
        <f>'Stress Base'!D9-'Stress Base'!B9</f>
        <v>0</v>
      </c>
    </row>
    <row r="10">
      <c r="A10" t="str">
        <v>TOTAL</v>
      </c>
      <c r="B10">
        <f>SUM(B2:B9)</f>
        <v>0</v>
      </c>
      <c r="D10">
        <f>SUM(D2:D9)</f>
        <v>0</v>
      </c>
      <c r="E10">
        <f>SUM(E2:E9)</f>
        <v>0</v>
      </c>
    </row>
    <row r="11">
      <c r="A11" t="str">
        <v>Surplus After Stress</v>
      </c>
      <c r="B11">
        <f>[financial-projection.xlsx]'Balance Sheet'!I16-'Stress Base'!E10</f>
        <v>0</v>
      </c>
    </row>
    <row r="12">
      <c r="A12" t="str">
        <v>RBC Ratio After Stress</v>
      </c>
      <c r="B12">
        <f>'Stress Base'!B11/'Stress Base'!D10*2</f>
        <v>0</v>
      </c>
    </row>
  </sheetData>
  <ignoredErrors>
    <ignoredError numberStoredAsText="1" sqref="A1:E1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Risk</v>
      </c>
      <c r="B1" t="str">
        <v>Base Charge</v>
      </c>
      <c r="C1" t="str">
        <v>Stress Factor</v>
      </c>
      <c r="D1" t="str">
        <v>Stressed Charge</v>
      </c>
      <c r="E1" t="str">
        <v>Impact on Surplus</v>
      </c>
    </row>
    <row r="2">
      <c r="A2" t="str">
        <v>Reserve</v>
      </c>
      <c r="B2">
        <f>Diversification!D2</f>
        <v>0</v>
      </c>
      <c r="C2">
        <v>1.15</v>
      </c>
      <c r="D2">
        <f>'Stress Adverse'!B2*'Stress Adverse'!C2</f>
        <v>0</v>
      </c>
      <c r="E2">
        <f>'Stress Adverse'!D2-'Stress Adverse'!B2</f>
        <v>0</v>
      </c>
    </row>
    <row r="3">
      <c r="A3" t="str">
        <v>Premium</v>
      </c>
      <c r="B3">
        <f>Diversification!D3</f>
        <v>0</v>
      </c>
      <c r="C3">
        <v>1.2</v>
      </c>
      <c r="D3">
        <f>'Stress Adverse'!B3*'Stress Adverse'!C3</f>
        <v>0</v>
      </c>
      <c r="E3">
        <f>'Stress Adverse'!D3-'Stress Adverse'!B3</f>
        <v>0</v>
      </c>
    </row>
    <row r="4">
      <c r="A4" t="str">
        <v>Credit</v>
      </c>
      <c r="B4">
        <f>Diversification!D4</f>
        <v>0</v>
      </c>
      <c r="C4">
        <v>1.25</v>
      </c>
      <c r="D4">
        <f>'Stress Adverse'!B4*'Stress Adverse'!C4</f>
        <v>0</v>
      </c>
      <c r="E4">
        <f>'Stress Adverse'!D4-'Stress Adverse'!B4</f>
        <v>0</v>
      </c>
    </row>
    <row r="5">
      <c r="A5" t="str">
        <v>Market</v>
      </c>
      <c r="B5">
        <f>Diversification!D5</f>
        <v>0</v>
      </c>
      <c r="C5">
        <v>1.3</v>
      </c>
      <c r="D5">
        <f>'Stress Adverse'!B5*'Stress Adverse'!C5</f>
        <v>0</v>
      </c>
      <c r="E5">
        <f>'Stress Adverse'!D5-'Stress Adverse'!B5</f>
        <v>0</v>
      </c>
    </row>
    <row r="6">
      <c r="A6" t="str">
        <v>Operational</v>
      </c>
      <c r="B6">
        <f>Diversification!D6</f>
        <v>0</v>
      </c>
      <c r="C6">
        <v>1.35</v>
      </c>
      <c r="D6">
        <f>'Stress Adverse'!B6*'Stress Adverse'!C6</f>
        <v>0</v>
      </c>
      <c r="E6">
        <f>'Stress Adverse'!D6-'Stress Adverse'!B6</f>
        <v>0</v>
      </c>
    </row>
    <row r="7">
      <c r="A7" t="str">
        <v>Catastrophe</v>
      </c>
      <c r="B7">
        <f>Diversification!D7</f>
        <v>0</v>
      </c>
      <c r="C7">
        <v>1.4</v>
      </c>
      <c r="D7">
        <f>'Stress Adverse'!B7*'Stress Adverse'!C7</f>
        <v>0</v>
      </c>
      <c r="E7">
        <f>'Stress Adverse'!D7-'Stress Adverse'!B7</f>
        <v>0</v>
      </c>
    </row>
    <row r="8">
      <c r="A8" t="str">
        <v>Interest Rate</v>
      </c>
      <c r="B8">
        <f>Diversification!D8</f>
        <v>0</v>
      </c>
      <c r="C8">
        <v>1.45</v>
      </c>
      <c r="D8">
        <f>'Stress Adverse'!B8*'Stress Adverse'!C8</f>
        <v>0</v>
      </c>
      <c r="E8">
        <f>'Stress Adverse'!D8-'Stress Adverse'!B8</f>
        <v>0</v>
      </c>
    </row>
    <row r="9">
      <c r="A9" t="str">
        <v>Liquidity</v>
      </c>
      <c r="B9">
        <f>Diversification!D9</f>
        <v>0</v>
      </c>
      <c r="C9">
        <v>1.5</v>
      </c>
      <c r="D9">
        <f>'Stress Adverse'!B9*'Stress Adverse'!C9</f>
        <v>0</v>
      </c>
      <c r="E9">
        <f>'Stress Adverse'!D9-'Stress Adverse'!B9</f>
        <v>0</v>
      </c>
    </row>
    <row r="10">
      <c r="A10" t="str">
        <v>TOTAL</v>
      </c>
      <c r="B10">
        <f>SUM(B2:B9)</f>
        <v>0</v>
      </c>
      <c r="D10">
        <f>SUM(D2:D9)</f>
        <v>0</v>
      </c>
      <c r="E10">
        <f>SUM(E2:E9)</f>
        <v>0</v>
      </c>
    </row>
    <row r="11">
      <c r="A11" t="str">
        <v>Surplus After Stress</v>
      </c>
      <c r="B11">
        <f>[financial-projection.xlsx]'Balance Sheet'!I16-'Stress Adverse'!E10</f>
        <v>0</v>
      </c>
    </row>
    <row r="12">
      <c r="A12" t="str">
        <v>RBC Ratio After Stress</v>
      </c>
      <c r="B12">
        <f>'Stress Adverse'!B11/'Stress Adverse'!D10*2</f>
        <v>0</v>
      </c>
    </row>
  </sheetData>
  <ignoredErrors>
    <ignoredError numberStoredAsText="1" sqref="A1:E1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Risk</v>
      </c>
      <c r="B1" t="str">
        <v>Base Charge</v>
      </c>
      <c r="C1" t="str">
        <v>Stress Factor</v>
      </c>
      <c r="D1" t="str">
        <v>Stressed Charge</v>
      </c>
      <c r="E1" t="str">
        <v>Impact on Surplus</v>
      </c>
    </row>
    <row r="2">
      <c r="A2" t="str">
        <v>Reserve</v>
      </c>
      <c r="B2">
        <f>Diversification!D2</f>
        <v>0</v>
      </c>
      <c r="C2">
        <v>1.3</v>
      </c>
      <c r="D2">
        <f>'Stress Moderate Stress'!B2*'Stress Moderate Stress'!C2</f>
        <v>0</v>
      </c>
      <c r="E2">
        <f>'Stress Moderate Stress'!D2-'Stress Moderate Stress'!B2</f>
        <v>0</v>
      </c>
    </row>
    <row r="3">
      <c r="A3" t="str">
        <v>Premium</v>
      </c>
      <c r="B3">
        <f>Diversification!D3</f>
        <v>0</v>
      </c>
      <c r="C3">
        <v>1.35</v>
      </c>
      <c r="D3">
        <f>'Stress Moderate Stress'!B3*'Stress Moderate Stress'!C3</f>
        <v>0</v>
      </c>
      <c r="E3">
        <f>'Stress Moderate Stress'!D3-'Stress Moderate Stress'!B3</f>
        <v>0</v>
      </c>
    </row>
    <row r="4">
      <c r="A4" t="str">
        <v>Credit</v>
      </c>
      <c r="B4">
        <f>Diversification!D4</f>
        <v>0</v>
      </c>
      <c r="C4">
        <v>1.4</v>
      </c>
      <c r="D4">
        <f>'Stress Moderate Stress'!B4*'Stress Moderate Stress'!C4</f>
        <v>0</v>
      </c>
      <c r="E4">
        <f>'Stress Moderate Stress'!D4-'Stress Moderate Stress'!B4</f>
        <v>0</v>
      </c>
    </row>
    <row r="5">
      <c r="A5" t="str">
        <v>Market</v>
      </c>
      <c r="B5">
        <f>Diversification!D5</f>
        <v>0</v>
      </c>
      <c r="C5">
        <v>1.45</v>
      </c>
      <c r="D5">
        <f>'Stress Moderate Stress'!B5*'Stress Moderate Stress'!C5</f>
        <v>0</v>
      </c>
      <c r="E5">
        <f>'Stress Moderate Stress'!D5-'Stress Moderate Stress'!B5</f>
        <v>0</v>
      </c>
    </row>
    <row r="6">
      <c r="A6" t="str">
        <v>Operational</v>
      </c>
      <c r="B6">
        <f>Diversification!D6</f>
        <v>0</v>
      </c>
      <c r="C6">
        <v>1.5</v>
      </c>
      <c r="D6">
        <f>'Stress Moderate Stress'!B6*'Stress Moderate Stress'!C6</f>
        <v>0</v>
      </c>
      <c r="E6">
        <f>'Stress Moderate Stress'!D6-'Stress Moderate Stress'!B6</f>
        <v>0</v>
      </c>
    </row>
    <row r="7">
      <c r="A7" t="str">
        <v>Catastrophe</v>
      </c>
      <c r="B7">
        <f>Diversification!D7</f>
        <v>0</v>
      </c>
      <c r="C7">
        <v>1.55</v>
      </c>
      <c r="D7">
        <f>'Stress Moderate Stress'!B7*'Stress Moderate Stress'!C7</f>
        <v>0</v>
      </c>
      <c r="E7">
        <f>'Stress Moderate Stress'!D7-'Stress Moderate Stress'!B7</f>
        <v>0</v>
      </c>
    </row>
    <row r="8">
      <c r="A8" t="str">
        <v>Interest Rate</v>
      </c>
      <c r="B8">
        <f>Diversification!D8</f>
        <v>0</v>
      </c>
      <c r="C8">
        <v>1.6</v>
      </c>
      <c r="D8">
        <f>'Stress Moderate Stress'!B8*'Stress Moderate Stress'!C8</f>
        <v>0</v>
      </c>
      <c r="E8">
        <f>'Stress Moderate Stress'!D8-'Stress Moderate Stress'!B8</f>
        <v>0</v>
      </c>
    </row>
    <row r="9">
      <c r="A9" t="str">
        <v>Liquidity</v>
      </c>
      <c r="B9">
        <f>Diversification!D9</f>
        <v>0</v>
      </c>
      <c r="C9">
        <v>1.65</v>
      </c>
      <c r="D9">
        <f>'Stress Moderate Stress'!B9*'Stress Moderate Stress'!C9</f>
        <v>0</v>
      </c>
      <c r="E9">
        <f>'Stress Moderate Stress'!D9-'Stress Moderate Stress'!B9</f>
        <v>0</v>
      </c>
    </row>
    <row r="10">
      <c r="A10" t="str">
        <v>TOTAL</v>
      </c>
      <c r="B10">
        <f>SUM(B2:B9)</f>
        <v>0</v>
      </c>
      <c r="D10">
        <f>SUM(D2:D9)</f>
        <v>0</v>
      </c>
      <c r="E10">
        <f>SUM(E2:E9)</f>
        <v>0</v>
      </c>
    </row>
    <row r="11">
      <c r="A11" t="str">
        <v>Surplus After Stress</v>
      </c>
      <c r="B11">
        <f>[financial-projection.xlsx]'Balance Sheet'!I16-'Stress Moderate Stress'!E10</f>
        <v>0</v>
      </c>
    </row>
    <row r="12">
      <c r="A12" t="str">
        <v>RBC Ratio After Stress</v>
      </c>
      <c r="B12">
        <f>'Stress Moderate Stress'!B11/'Stress Moderate Stress'!D10*2</f>
        <v>0</v>
      </c>
    </row>
  </sheetData>
  <ignoredErrors>
    <ignoredError numberStoredAsText="1" sqref="A1:E1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Risk</v>
      </c>
      <c r="B1" t="str">
        <v>Base Charge</v>
      </c>
      <c r="C1" t="str">
        <v>Stress Factor</v>
      </c>
      <c r="D1" t="str">
        <v>Stressed Charge</v>
      </c>
      <c r="E1" t="str">
        <v>Impact on Surplus</v>
      </c>
    </row>
    <row r="2">
      <c r="A2" t="str">
        <v>Reserve</v>
      </c>
      <c r="B2">
        <f>Diversification!D2</f>
        <v>0</v>
      </c>
      <c r="C2">
        <v>1.45</v>
      </c>
      <c r="D2">
        <f>'Stress Severe Stress'!B2*'Stress Severe Stress'!C2</f>
        <v>0</v>
      </c>
      <c r="E2">
        <f>'Stress Severe Stress'!D2-'Stress Severe Stress'!B2</f>
        <v>0</v>
      </c>
    </row>
    <row r="3">
      <c r="A3" t="str">
        <v>Premium</v>
      </c>
      <c r="B3">
        <f>Diversification!D3</f>
        <v>0</v>
      </c>
      <c r="C3">
        <v>1.5</v>
      </c>
      <c r="D3">
        <f>'Stress Severe Stress'!B3*'Stress Severe Stress'!C3</f>
        <v>0</v>
      </c>
      <c r="E3">
        <f>'Stress Severe Stress'!D3-'Stress Severe Stress'!B3</f>
        <v>0</v>
      </c>
    </row>
    <row r="4">
      <c r="A4" t="str">
        <v>Credit</v>
      </c>
      <c r="B4">
        <f>Diversification!D4</f>
        <v>0</v>
      </c>
      <c r="C4">
        <v>1.55</v>
      </c>
      <c r="D4">
        <f>'Stress Severe Stress'!B4*'Stress Severe Stress'!C4</f>
        <v>0</v>
      </c>
      <c r="E4">
        <f>'Stress Severe Stress'!D4-'Stress Severe Stress'!B4</f>
        <v>0</v>
      </c>
    </row>
    <row r="5">
      <c r="A5" t="str">
        <v>Market</v>
      </c>
      <c r="B5">
        <f>Diversification!D5</f>
        <v>0</v>
      </c>
      <c r="C5">
        <v>1.6</v>
      </c>
      <c r="D5">
        <f>'Stress Severe Stress'!B5*'Stress Severe Stress'!C5</f>
        <v>0</v>
      </c>
      <c r="E5">
        <f>'Stress Severe Stress'!D5-'Stress Severe Stress'!B5</f>
        <v>0</v>
      </c>
    </row>
    <row r="6">
      <c r="A6" t="str">
        <v>Operational</v>
      </c>
      <c r="B6">
        <f>Diversification!D6</f>
        <v>0</v>
      </c>
      <c r="C6">
        <v>1.65</v>
      </c>
      <c r="D6">
        <f>'Stress Severe Stress'!B6*'Stress Severe Stress'!C6</f>
        <v>0</v>
      </c>
      <c r="E6">
        <f>'Stress Severe Stress'!D6-'Stress Severe Stress'!B6</f>
        <v>0</v>
      </c>
    </row>
    <row r="7">
      <c r="A7" t="str">
        <v>Catastrophe</v>
      </c>
      <c r="B7">
        <f>Diversification!D7</f>
        <v>0</v>
      </c>
      <c r="C7">
        <v>1.7</v>
      </c>
      <c r="D7">
        <f>'Stress Severe Stress'!B7*'Stress Severe Stress'!C7</f>
        <v>0</v>
      </c>
      <c r="E7">
        <f>'Stress Severe Stress'!D7-'Stress Severe Stress'!B7</f>
        <v>0</v>
      </c>
    </row>
    <row r="8">
      <c r="A8" t="str">
        <v>Interest Rate</v>
      </c>
      <c r="B8">
        <f>Diversification!D8</f>
        <v>0</v>
      </c>
      <c r="C8">
        <v>1.75</v>
      </c>
      <c r="D8">
        <f>'Stress Severe Stress'!B8*'Stress Severe Stress'!C8</f>
        <v>0</v>
      </c>
      <c r="E8">
        <f>'Stress Severe Stress'!D8-'Stress Severe Stress'!B8</f>
        <v>0</v>
      </c>
    </row>
    <row r="9">
      <c r="A9" t="str">
        <v>Liquidity</v>
      </c>
      <c r="B9">
        <f>Diversification!D9</f>
        <v>0</v>
      </c>
      <c r="C9">
        <v>1.8</v>
      </c>
      <c r="D9">
        <f>'Stress Severe Stress'!B9*'Stress Severe Stress'!C9</f>
        <v>0</v>
      </c>
      <c r="E9">
        <f>'Stress Severe Stress'!D9-'Stress Severe Stress'!B9</f>
        <v>0</v>
      </c>
    </row>
    <row r="10">
      <c r="A10" t="str">
        <v>TOTAL</v>
      </c>
      <c r="B10">
        <f>SUM(B2:B9)</f>
        <v>0</v>
      </c>
      <c r="D10">
        <f>SUM(D2:D9)</f>
        <v>0</v>
      </c>
      <c r="E10">
        <f>SUM(E2:E9)</f>
        <v>0</v>
      </c>
    </row>
    <row r="11">
      <c r="A11" t="str">
        <v>Surplus After Stress</v>
      </c>
      <c r="B11">
        <f>[financial-projection.xlsx]'Balance Sheet'!I16-'Stress Severe Stress'!E10</f>
        <v>0</v>
      </c>
    </row>
    <row r="12">
      <c r="A12" t="str">
        <v>RBC Ratio After Stress</v>
      </c>
      <c r="B12">
        <f>'Stress Severe Stress'!B11/'Stress Severe Stress'!D10*2</f>
        <v>0</v>
      </c>
    </row>
  </sheetData>
  <ignoredErrors>
    <ignoredError numberStoredAsText="1" sqref="A1:E1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Risk</v>
      </c>
      <c r="B1" t="str">
        <v>Base Charge</v>
      </c>
      <c r="C1" t="str">
        <v>Stress Factor</v>
      </c>
      <c r="D1" t="str">
        <v>Stressed Charge</v>
      </c>
      <c r="E1" t="str">
        <v>Impact on Surplus</v>
      </c>
    </row>
    <row r="2">
      <c r="A2" t="str">
        <v>Reserve</v>
      </c>
      <c r="B2">
        <f>Diversification!D2</f>
        <v>0</v>
      </c>
      <c r="C2">
        <v>1.6</v>
      </c>
      <c r="D2">
        <f>'Stress Tail Event'!B2*'Stress Tail Event'!C2</f>
        <v>0</v>
      </c>
      <c r="E2">
        <f>'Stress Tail Event'!D2-'Stress Tail Event'!B2</f>
        <v>0</v>
      </c>
    </row>
    <row r="3">
      <c r="A3" t="str">
        <v>Premium</v>
      </c>
      <c r="B3">
        <f>Diversification!D3</f>
        <v>0</v>
      </c>
      <c r="C3">
        <v>1.65</v>
      </c>
      <c r="D3">
        <f>'Stress Tail Event'!B3*'Stress Tail Event'!C3</f>
        <v>0</v>
      </c>
      <c r="E3">
        <f>'Stress Tail Event'!D3-'Stress Tail Event'!B3</f>
        <v>0</v>
      </c>
    </row>
    <row r="4">
      <c r="A4" t="str">
        <v>Credit</v>
      </c>
      <c r="B4">
        <f>Diversification!D4</f>
        <v>0</v>
      </c>
      <c r="C4">
        <v>1.7</v>
      </c>
      <c r="D4">
        <f>'Stress Tail Event'!B4*'Stress Tail Event'!C4</f>
        <v>0</v>
      </c>
      <c r="E4">
        <f>'Stress Tail Event'!D4-'Stress Tail Event'!B4</f>
        <v>0</v>
      </c>
    </row>
    <row r="5">
      <c r="A5" t="str">
        <v>Market</v>
      </c>
      <c r="B5">
        <f>Diversification!D5</f>
        <v>0</v>
      </c>
      <c r="C5">
        <v>1.75</v>
      </c>
      <c r="D5">
        <f>'Stress Tail Event'!B5*'Stress Tail Event'!C5</f>
        <v>0</v>
      </c>
      <c r="E5">
        <f>'Stress Tail Event'!D5-'Stress Tail Event'!B5</f>
        <v>0</v>
      </c>
    </row>
    <row r="6">
      <c r="A6" t="str">
        <v>Operational</v>
      </c>
      <c r="B6">
        <f>Diversification!D6</f>
        <v>0</v>
      </c>
      <c r="C6">
        <v>1.8</v>
      </c>
      <c r="D6">
        <f>'Stress Tail Event'!B6*'Stress Tail Event'!C6</f>
        <v>0</v>
      </c>
      <c r="E6">
        <f>'Stress Tail Event'!D6-'Stress Tail Event'!B6</f>
        <v>0</v>
      </c>
    </row>
    <row r="7">
      <c r="A7" t="str">
        <v>Catastrophe</v>
      </c>
      <c r="B7">
        <f>Diversification!D7</f>
        <v>0</v>
      </c>
      <c r="C7">
        <v>1.85</v>
      </c>
      <c r="D7">
        <f>'Stress Tail Event'!B7*'Stress Tail Event'!C7</f>
        <v>0</v>
      </c>
      <c r="E7">
        <f>'Stress Tail Event'!D7-'Stress Tail Event'!B7</f>
        <v>0</v>
      </c>
    </row>
    <row r="8">
      <c r="A8" t="str">
        <v>Interest Rate</v>
      </c>
      <c r="B8">
        <f>Diversification!D8</f>
        <v>0</v>
      </c>
      <c r="C8">
        <v>1.9</v>
      </c>
      <c r="D8">
        <f>'Stress Tail Event'!B8*'Stress Tail Event'!C8</f>
        <v>0</v>
      </c>
      <c r="E8">
        <f>'Stress Tail Event'!D8-'Stress Tail Event'!B8</f>
        <v>0</v>
      </c>
    </row>
    <row r="9">
      <c r="A9" t="str">
        <v>Liquidity</v>
      </c>
      <c r="B9">
        <f>Diversification!D9</f>
        <v>0</v>
      </c>
      <c r="C9">
        <v>1.95</v>
      </c>
      <c r="D9">
        <f>'Stress Tail Event'!B9*'Stress Tail Event'!C9</f>
        <v>0</v>
      </c>
      <c r="E9">
        <f>'Stress Tail Event'!D9-'Stress Tail Event'!B9</f>
        <v>0</v>
      </c>
    </row>
    <row r="10">
      <c r="A10" t="str">
        <v>TOTAL</v>
      </c>
      <c r="B10">
        <f>SUM(B2:B9)</f>
        <v>0</v>
      </c>
      <c r="D10">
        <f>SUM(D2:D9)</f>
        <v>0</v>
      </c>
      <c r="E10">
        <f>SUM(E2:E9)</f>
        <v>0</v>
      </c>
    </row>
    <row r="11">
      <c r="A11" t="str">
        <v>Surplus After Stress</v>
      </c>
      <c r="B11">
        <f>[financial-projection.xlsx]'Balance Sheet'!I16-'Stress Tail Event'!E10</f>
        <v>0</v>
      </c>
    </row>
    <row r="12">
      <c r="A12" t="str">
        <v>RBC Ratio After Stress</v>
      </c>
      <c r="B12">
        <f>'Stress Tail Event'!B11/'Stress Tail Event'!D10*2</f>
        <v>0</v>
      </c>
    </row>
  </sheetData>
  <ignoredErrors>
    <ignoredError numberStoredAsText="1" sqref="A1:E1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Risk</v>
      </c>
      <c r="B1" t="str">
        <v>Base Charge</v>
      </c>
      <c r="C1" t="str">
        <v>Stress Factor</v>
      </c>
      <c r="D1" t="str">
        <v>Stressed Charge</v>
      </c>
      <c r="E1" t="str">
        <v>Impact on Surplus</v>
      </c>
    </row>
    <row r="2">
      <c r="A2" t="str">
        <v>Reserve</v>
      </c>
      <c r="B2">
        <f>Diversification!D2</f>
        <v>0</v>
      </c>
      <c r="C2">
        <v>1.75</v>
      </c>
      <c r="D2">
        <f>'Stress Pandemic'!B2*'Stress Pandemic'!C2</f>
        <v>0</v>
      </c>
      <c r="E2">
        <f>'Stress Pandemic'!D2-'Stress Pandemic'!B2</f>
        <v>0</v>
      </c>
    </row>
    <row r="3">
      <c r="A3" t="str">
        <v>Premium</v>
      </c>
      <c r="B3">
        <f>Diversification!D3</f>
        <v>0</v>
      </c>
      <c r="C3">
        <v>1.8</v>
      </c>
      <c r="D3">
        <f>'Stress Pandemic'!B3*'Stress Pandemic'!C3</f>
        <v>0</v>
      </c>
      <c r="E3">
        <f>'Stress Pandemic'!D3-'Stress Pandemic'!B3</f>
        <v>0</v>
      </c>
    </row>
    <row r="4">
      <c r="A4" t="str">
        <v>Credit</v>
      </c>
      <c r="B4">
        <f>Diversification!D4</f>
        <v>0</v>
      </c>
      <c r="C4">
        <v>1.85</v>
      </c>
      <c r="D4">
        <f>'Stress Pandemic'!B4*'Stress Pandemic'!C4</f>
        <v>0</v>
      </c>
      <c r="E4">
        <f>'Stress Pandemic'!D4-'Stress Pandemic'!B4</f>
        <v>0</v>
      </c>
    </row>
    <row r="5">
      <c r="A5" t="str">
        <v>Market</v>
      </c>
      <c r="B5">
        <f>Diversification!D5</f>
        <v>0</v>
      </c>
      <c r="C5">
        <v>1.9</v>
      </c>
      <c r="D5">
        <f>'Stress Pandemic'!B5*'Stress Pandemic'!C5</f>
        <v>0</v>
      </c>
      <c r="E5">
        <f>'Stress Pandemic'!D5-'Stress Pandemic'!B5</f>
        <v>0</v>
      </c>
    </row>
    <row r="6">
      <c r="A6" t="str">
        <v>Operational</v>
      </c>
      <c r="B6">
        <f>Diversification!D6</f>
        <v>0</v>
      </c>
      <c r="C6">
        <v>1.95</v>
      </c>
      <c r="D6">
        <f>'Stress Pandemic'!B6*'Stress Pandemic'!C6</f>
        <v>0</v>
      </c>
      <c r="E6">
        <f>'Stress Pandemic'!D6-'Stress Pandemic'!B6</f>
        <v>0</v>
      </c>
    </row>
    <row r="7">
      <c r="A7" t="str">
        <v>Catastrophe</v>
      </c>
      <c r="B7">
        <f>Diversification!D7</f>
        <v>0</v>
      </c>
      <c r="C7">
        <v>2</v>
      </c>
      <c r="D7">
        <f>'Stress Pandemic'!B7*'Stress Pandemic'!C7</f>
        <v>0</v>
      </c>
      <c r="E7">
        <f>'Stress Pandemic'!D7-'Stress Pandemic'!B7</f>
        <v>0</v>
      </c>
    </row>
    <row r="8">
      <c r="A8" t="str">
        <v>Interest Rate</v>
      </c>
      <c r="B8">
        <f>Diversification!D8</f>
        <v>0</v>
      </c>
      <c r="C8">
        <v>2.05</v>
      </c>
      <c r="D8">
        <f>'Stress Pandemic'!B8*'Stress Pandemic'!C8</f>
        <v>0</v>
      </c>
      <c r="E8">
        <f>'Stress Pandemic'!D8-'Stress Pandemic'!B8</f>
        <v>0</v>
      </c>
    </row>
    <row r="9">
      <c r="A9" t="str">
        <v>Liquidity</v>
      </c>
      <c r="B9">
        <f>Diversification!D9</f>
        <v>0</v>
      </c>
      <c r="C9">
        <v>2.1</v>
      </c>
      <c r="D9">
        <f>'Stress Pandemic'!B9*'Stress Pandemic'!C9</f>
        <v>0</v>
      </c>
      <c r="E9">
        <f>'Stress Pandemic'!D9-'Stress Pandemic'!B9</f>
        <v>0</v>
      </c>
    </row>
    <row r="10">
      <c r="A10" t="str">
        <v>TOTAL</v>
      </c>
      <c r="B10">
        <f>SUM(B2:B9)</f>
        <v>0</v>
      </c>
      <c r="D10">
        <f>SUM(D2:D9)</f>
        <v>0</v>
      </c>
      <c r="E10">
        <f>SUM(E2:E9)</f>
        <v>0</v>
      </c>
    </row>
    <row r="11">
      <c r="A11" t="str">
        <v>Surplus After Stress</v>
      </c>
      <c r="B11">
        <f>[financial-projection.xlsx]'Balance Sheet'!I16-'Stress Pandemic'!E10</f>
        <v>0</v>
      </c>
    </row>
    <row r="12">
      <c r="A12" t="str">
        <v>RBC Ratio After Stress</v>
      </c>
      <c r="B12">
        <f>'Stress Pandemic'!B11/'Stress Pandemic'!D10*2</f>
        <v>0</v>
      </c>
    </row>
  </sheetData>
  <ignoredErrors>
    <ignoredError numberStoredAsText="1" sqref="A1:E1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Risk</v>
      </c>
      <c r="B1" t="str">
        <v>Base Charge</v>
      </c>
      <c r="C1" t="str">
        <v>Stress Factor</v>
      </c>
      <c r="D1" t="str">
        <v>Stressed Charge</v>
      </c>
      <c r="E1" t="str">
        <v>Impact on Surplus</v>
      </c>
    </row>
    <row r="2">
      <c r="A2" t="str">
        <v>Reserve</v>
      </c>
      <c r="B2">
        <f>Diversification!D2</f>
        <v>0</v>
      </c>
      <c r="C2">
        <v>1.9</v>
      </c>
      <c r="D2">
        <f>'Stress Cat + Market'!B2*'Stress Cat + Market'!C2</f>
        <v>0</v>
      </c>
      <c r="E2">
        <f>'Stress Cat + Market'!D2-'Stress Cat + Market'!B2</f>
        <v>0</v>
      </c>
    </row>
    <row r="3">
      <c r="A3" t="str">
        <v>Premium</v>
      </c>
      <c r="B3">
        <f>Diversification!D3</f>
        <v>0</v>
      </c>
      <c r="C3">
        <v>1.95</v>
      </c>
      <c r="D3">
        <f>'Stress Cat + Market'!B3*'Stress Cat + Market'!C3</f>
        <v>0</v>
      </c>
      <c r="E3">
        <f>'Stress Cat + Market'!D3-'Stress Cat + Market'!B3</f>
        <v>0</v>
      </c>
    </row>
    <row r="4">
      <c r="A4" t="str">
        <v>Credit</v>
      </c>
      <c r="B4">
        <f>Diversification!D4</f>
        <v>0</v>
      </c>
      <c r="C4">
        <v>2</v>
      </c>
      <c r="D4">
        <f>'Stress Cat + Market'!B4*'Stress Cat + Market'!C4</f>
        <v>0</v>
      </c>
      <c r="E4">
        <f>'Stress Cat + Market'!D4-'Stress Cat + Market'!B4</f>
        <v>0</v>
      </c>
    </row>
    <row r="5">
      <c r="A5" t="str">
        <v>Market</v>
      </c>
      <c r="B5">
        <f>Diversification!D5</f>
        <v>0</v>
      </c>
      <c r="C5">
        <v>2.05</v>
      </c>
      <c r="D5">
        <f>'Stress Cat + Market'!B5*'Stress Cat + Market'!C5</f>
        <v>0</v>
      </c>
      <c r="E5">
        <f>'Stress Cat + Market'!D5-'Stress Cat + Market'!B5</f>
        <v>0</v>
      </c>
    </row>
    <row r="6">
      <c r="A6" t="str">
        <v>Operational</v>
      </c>
      <c r="B6">
        <f>Diversification!D6</f>
        <v>0</v>
      </c>
      <c r="C6">
        <v>2.1</v>
      </c>
      <c r="D6">
        <f>'Stress Cat + Market'!B6*'Stress Cat + Market'!C6</f>
        <v>0</v>
      </c>
      <c r="E6">
        <f>'Stress Cat + Market'!D6-'Stress Cat + Market'!B6</f>
        <v>0</v>
      </c>
    </row>
    <row r="7">
      <c r="A7" t="str">
        <v>Catastrophe</v>
      </c>
      <c r="B7">
        <f>Diversification!D7</f>
        <v>0</v>
      </c>
      <c r="C7">
        <v>2.15</v>
      </c>
      <c r="D7">
        <f>'Stress Cat + Market'!B7*'Stress Cat + Market'!C7</f>
        <v>0</v>
      </c>
      <c r="E7">
        <f>'Stress Cat + Market'!D7-'Stress Cat + Market'!B7</f>
        <v>0</v>
      </c>
    </row>
    <row r="8">
      <c r="A8" t="str">
        <v>Interest Rate</v>
      </c>
      <c r="B8">
        <f>Diversification!D8</f>
        <v>0</v>
      </c>
      <c r="C8">
        <v>2.2</v>
      </c>
      <c r="D8">
        <f>'Stress Cat + Market'!B8*'Stress Cat + Market'!C8</f>
        <v>0</v>
      </c>
      <c r="E8">
        <f>'Stress Cat + Market'!D8-'Stress Cat + Market'!B8</f>
        <v>0</v>
      </c>
    </row>
    <row r="9">
      <c r="A9" t="str">
        <v>Liquidity</v>
      </c>
      <c r="B9">
        <f>Diversification!D9</f>
        <v>0</v>
      </c>
      <c r="C9">
        <v>2.25</v>
      </c>
      <c r="D9">
        <f>'Stress Cat + Market'!B9*'Stress Cat + Market'!C9</f>
        <v>0</v>
      </c>
      <c r="E9">
        <f>'Stress Cat + Market'!D9-'Stress Cat + Market'!B9</f>
        <v>0</v>
      </c>
    </row>
    <row r="10">
      <c r="A10" t="str">
        <v>TOTAL</v>
      </c>
      <c r="B10">
        <f>SUM(B2:B9)</f>
        <v>0</v>
      </c>
      <c r="D10">
        <f>SUM(D2:D9)</f>
        <v>0</v>
      </c>
      <c r="E10">
        <f>SUM(E2:E9)</f>
        <v>0</v>
      </c>
    </row>
    <row r="11">
      <c r="A11" t="str">
        <v>Surplus After Stress</v>
      </c>
      <c r="B11">
        <f>[financial-projection.xlsx]'Balance Sheet'!I16-'Stress Cat + Market'!E10</f>
        <v>0</v>
      </c>
    </row>
    <row r="12">
      <c r="A12" t="str">
        <v>RBC Ratio After Stress</v>
      </c>
      <c r="B12">
        <f>'Stress Cat + Market'!B11/'Stress Cat + Market'!D10*2</f>
        <v>0</v>
      </c>
    </row>
  </sheetData>
  <ignoredErrors>
    <ignoredError numberStoredAsText="1" sqref="A1:E1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Risk</v>
      </c>
      <c r="B1" t="str">
        <v>Base Charge</v>
      </c>
      <c r="C1" t="str">
        <v>Stress Factor</v>
      </c>
      <c r="D1" t="str">
        <v>Stressed Charge</v>
      </c>
      <c r="E1" t="str">
        <v>Impact on Surplus</v>
      </c>
    </row>
    <row r="2">
      <c r="A2" t="str">
        <v>Reserve</v>
      </c>
      <c r="B2">
        <f>Diversification!D2</f>
        <v>0</v>
      </c>
      <c r="C2">
        <v>2.05</v>
      </c>
      <c r="D2">
        <f>'Stress Regulatory'!B2*'Stress Regulatory'!C2</f>
        <v>0</v>
      </c>
      <c r="E2">
        <f>'Stress Regulatory'!D2-'Stress Regulatory'!B2</f>
        <v>0</v>
      </c>
    </row>
    <row r="3">
      <c r="A3" t="str">
        <v>Premium</v>
      </c>
      <c r="B3">
        <f>Diversification!D3</f>
        <v>0</v>
      </c>
      <c r="C3">
        <v>2.1</v>
      </c>
      <c r="D3">
        <f>'Stress Regulatory'!B3*'Stress Regulatory'!C3</f>
        <v>0</v>
      </c>
      <c r="E3">
        <f>'Stress Regulatory'!D3-'Stress Regulatory'!B3</f>
        <v>0</v>
      </c>
    </row>
    <row r="4">
      <c r="A4" t="str">
        <v>Credit</v>
      </c>
      <c r="B4">
        <f>Diversification!D4</f>
        <v>0</v>
      </c>
      <c r="C4">
        <v>2.15</v>
      </c>
      <c r="D4">
        <f>'Stress Regulatory'!B4*'Stress Regulatory'!C4</f>
        <v>0</v>
      </c>
      <c r="E4">
        <f>'Stress Regulatory'!D4-'Stress Regulatory'!B4</f>
        <v>0</v>
      </c>
    </row>
    <row r="5">
      <c r="A5" t="str">
        <v>Market</v>
      </c>
      <c r="B5">
        <f>Diversification!D5</f>
        <v>0</v>
      </c>
      <c r="C5">
        <v>2.2</v>
      </c>
      <c r="D5">
        <f>'Stress Regulatory'!B5*'Stress Regulatory'!C5</f>
        <v>0</v>
      </c>
      <c r="E5">
        <f>'Stress Regulatory'!D5-'Stress Regulatory'!B5</f>
        <v>0</v>
      </c>
    </row>
    <row r="6">
      <c r="A6" t="str">
        <v>Operational</v>
      </c>
      <c r="B6">
        <f>Diversification!D6</f>
        <v>0</v>
      </c>
      <c r="C6">
        <v>2.25</v>
      </c>
      <c r="D6">
        <f>'Stress Regulatory'!B6*'Stress Regulatory'!C6</f>
        <v>0</v>
      </c>
      <c r="E6">
        <f>'Stress Regulatory'!D6-'Stress Regulatory'!B6</f>
        <v>0</v>
      </c>
    </row>
    <row r="7">
      <c r="A7" t="str">
        <v>Catastrophe</v>
      </c>
      <c r="B7">
        <f>Diversification!D7</f>
        <v>0</v>
      </c>
      <c r="C7">
        <v>2.3</v>
      </c>
      <c r="D7">
        <f>'Stress Regulatory'!B7*'Stress Regulatory'!C7</f>
        <v>0</v>
      </c>
      <c r="E7">
        <f>'Stress Regulatory'!D7-'Stress Regulatory'!B7</f>
        <v>0</v>
      </c>
    </row>
    <row r="8">
      <c r="A8" t="str">
        <v>Interest Rate</v>
      </c>
      <c r="B8">
        <f>Diversification!D8</f>
        <v>0</v>
      </c>
      <c r="C8">
        <v>2.35</v>
      </c>
      <c r="D8">
        <f>'Stress Regulatory'!B8*'Stress Regulatory'!C8</f>
        <v>0</v>
      </c>
      <c r="E8">
        <f>'Stress Regulatory'!D8-'Stress Regulatory'!B8</f>
        <v>0</v>
      </c>
    </row>
    <row r="9">
      <c r="A9" t="str">
        <v>Liquidity</v>
      </c>
      <c r="B9">
        <f>Diversification!D9</f>
        <v>0</v>
      </c>
      <c r="C9">
        <v>2.4</v>
      </c>
      <c r="D9">
        <f>'Stress Regulatory'!B9*'Stress Regulatory'!C9</f>
        <v>0</v>
      </c>
      <c r="E9">
        <f>'Stress Regulatory'!D9-'Stress Regulatory'!B9</f>
        <v>0</v>
      </c>
    </row>
    <row r="10">
      <c r="A10" t="str">
        <v>TOTAL</v>
      </c>
      <c r="B10">
        <f>SUM(B2:B9)</f>
        <v>0</v>
      </c>
      <c r="D10">
        <f>SUM(D2:D9)</f>
        <v>0</v>
      </c>
      <c r="E10">
        <f>SUM(E2:E9)</f>
        <v>0</v>
      </c>
    </row>
    <row r="11">
      <c r="A11" t="str">
        <v>Surplus After Stress</v>
      </c>
      <c r="B11">
        <f>[financial-projection.xlsx]'Balance Sheet'!I16-'Stress Regulatory'!E10</f>
        <v>0</v>
      </c>
    </row>
    <row r="12">
      <c r="A12" t="str">
        <v>RBC Ratio After Stress</v>
      </c>
      <c r="B12">
        <f>'Stress Regulatory'!B11/'Stress Regulatory'!D10*2</f>
        <v>0</v>
      </c>
    </row>
  </sheetData>
  <ignoredErrors>
    <ignoredError numberStoredAsText="1" sqref="A1:E1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Capital Adequacy Summary</v>
      </c>
    </row>
    <row r="2">
      <c r="A2" t="str">
        <v/>
      </c>
    </row>
    <row r="3">
      <c r="A3" t="str">
        <v>Metric</v>
      </c>
      <c r="B3" t="str">
        <v>Value</v>
      </c>
    </row>
    <row r="4">
      <c r="A4" t="str">
        <v>Required Capital (Diversified)</v>
      </c>
      <c r="B4">
        <f>TotalCapitalReq</f>
        <v>0</v>
      </c>
    </row>
    <row r="5">
      <c r="A5" t="str">
        <v>Required Capital (Undiversified)</v>
      </c>
      <c r="B5">
        <f>Diversification!B10</f>
        <v>0</v>
      </c>
    </row>
    <row r="6">
      <c r="A6" t="str">
        <v>Diversification Credit %</v>
      </c>
      <c r="B6">
        <f>Diversification!B11</f>
        <v>0</v>
      </c>
    </row>
    <row r="7">
      <c r="A7" t="str">
        <v>Available Capital (Surplus)</v>
      </c>
      <c r="B7">
        <f>[financial-projection.xlsx]'Balance Sheet'!I16</f>
        <v>0</v>
      </c>
    </row>
    <row r="8">
      <c r="A8" t="str">
        <v>Capital Adequacy Ratio</v>
      </c>
      <c r="B8">
        <f>'Capital Summary'!B7/'Capital Summary'!B4</f>
        <v>0</v>
      </c>
    </row>
    <row r="9">
      <c r="A9" t="str">
        <v>Excess Capital vs Target</v>
      </c>
      <c r="B9">
        <f>'Capital Summary'!B7-'Capital Summary'!B4*TargetRBC</f>
        <v>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Capital Assumptions</vt:lpstr>
      <vt:lpstr>Correlation Matrix</vt:lpstr>
      <vt:lpstr>Risk Reserve</vt:lpstr>
      <vt:lpstr>Risk Premium</vt:lpstr>
      <vt:lpstr>Risk Credit</vt:lpstr>
      <vt:lpstr>Risk Market</vt:lpstr>
      <vt:lpstr>Risk Operational</vt:lpstr>
      <vt:lpstr>Risk Catastrophe</vt:lpstr>
      <vt:lpstr>Risk Interest Rate</vt:lpstr>
      <vt:lpstr>Risk Liquidity</vt:lpstr>
      <vt:lpstr>Diversification</vt:lpstr>
      <vt:lpstr>Stress Base</vt:lpstr>
      <vt:lpstr>Stress Adverse</vt:lpstr>
      <vt:lpstr>Stress Moderate Stress</vt:lpstr>
      <vt:lpstr>Stress Severe Stress</vt:lpstr>
      <vt:lpstr>Stress Tail Event</vt:lpstr>
      <vt:lpstr>Stress Pandemic</vt:lpstr>
      <vt:lpstr>Stress Cat + Market</vt:lpstr>
      <vt:lpstr>Stress Regulatory</vt:lpstr>
      <vt:lpstr>Capital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
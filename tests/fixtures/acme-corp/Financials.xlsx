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ing" sheetId="1" r:id="rId1"/>
    <sheet name="P&amp;L" sheetId="2" r:id="rId2"/>
    <sheet name="BalanceSheet" sheetId="3" r:id="rId3"/>
    <sheet name="CashFlow" sheetId="4" r:id="rId4"/>
    <sheet name="Rati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DO NOT DELETE — intermediate calcs</v>
      </c>
      <c r="B1" t="str">
        <v/>
      </c>
      <c r="C1" t="str">
        <v/>
      </c>
      <c r="D1" t="str">
        <v/>
      </c>
    </row>
    <row r="2">
      <c r="A2" t="str">
        <v>Rev pull</v>
      </c>
      <c r="B2">
        <f>IFERROR('[Revenue-Model.xlsx]Revenue'!B7,0)</f>
        <v>0</v>
      </c>
      <c r="D2" t="str">
        <v>temp check</v>
      </c>
    </row>
    <row r="3">
      <c r="A3" t="str">
        <v>COGS pull</v>
      </c>
      <c r="B3">
        <f>IFERROR('[Cost-Model.xlsx]COGS'!B6,0)</f>
        <v>0</v>
      </c>
      <c r="D3" t="str">
        <v>temp check</v>
      </c>
    </row>
    <row r="4">
      <c r="A4" t="str">
        <v>OpEx pull</v>
      </c>
      <c r="B4">
        <f>IFERROR('[Cost-Model.xlsx]OpEx'!B13,0)</f>
        <v>0</v>
      </c>
      <c r="D4" t="str">
        <v>temp check</v>
      </c>
    </row>
    <row r="5">
      <c r="A5" t="str">
        <v>Gross margin</v>
      </c>
      <c r="B5">
        <f>IFERROR((B2-B3)/B2,0)</f>
        <v>0</v>
      </c>
      <c r="D5" t="str">
        <v>should be ~60%</v>
      </c>
    </row>
    <row r="6">
      <c r="A6" t="str">
        <v>Tax rate override</v>
      </c>
      <c r="B6">
        <v>0.25</v>
      </c>
      <c r="D6" t="str">
        <v>HARDCODED - was ='[Assumptions.xlsx]Global'!B3</v>
      </c>
    </row>
    <row r="7">
      <c r="A7" t="str">
        <v>Quick NI est</v>
      </c>
      <c r="B7">
        <f>(B2-B3-B4)*(1-B6)</f>
        <v>0</v>
      </c>
      <c r="D7" t="str">
        <v>sanity check</v>
      </c>
    </row>
    <row r="8">
      <c r="A8" t="str">
        <v>Last yr rev</v>
      </c>
      <c r="B8">
        <f>IFERROR(OFFSET('[Revenue-Model.xlsx]Revenue'!A7,0,5),0)</f>
        <v>0</v>
      </c>
    </row>
  </sheetData>
  <ignoredErrors>
    <ignoredError numberStoredAsText="1" sqref="A1:D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 Item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Revenue</v>
      </c>
      <c r="B2">
        <f>IFERROR('[Revenue-Model.xlsx]Revenue'!B7,0)</f>
        <v>0</v>
      </c>
      <c r="C2">
        <f>IFERROR('[Revenue-Model.xlsx]Revenue'!C7,0)</f>
        <v>0</v>
      </c>
      <c r="D2">
        <f>IFERROR('[Revenue-Model.xlsx]Revenue'!D7,0)</f>
        <v>0</v>
      </c>
      <c r="E2">
        <f>IFERROR('[Revenue-Model.xlsx]Revenue'!E7,0)</f>
        <v>0</v>
      </c>
      <c r="F2">
        <f>IFERROR('[Revenue-Model.xlsx]Revenue'!F7,0)</f>
        <v>0</v>
      </c>
    </row>
    <row r="3">
      <c r="A3" t="str">
        <v>COGS</v>
      </c>
      <c r="B3">
        <f>IFERROR('[Cost-Model.xlsx]COGS'!B6,0)</f>
        <v>0</v>
      </c>
      <c r="C3">
        <f>IFERROR('[Cost-Model.xlsx]COGS'!C6,0)</f>
        <v>0</v>
      </c>
      <c r="D3">
        <f>IFERROR('[Cost-Model.xlsx]COGS'!D6,0)</f>
        <v>0</v>
      </c>
      <c r="E3">
        <f>IFERROR('[Cost-Model.xlsx]COGS'!E6,0)</f>
        <v>0</v>
      </c>
      <c r="F3">
        <f>IFERROR('[Cost-Model.xlsx]COGS'!F6,0)</f>
        <v>0</v>
      </c>
    </row>
    <row r="4">
      <c r="A4" t="str">
        <v>Gross Profit</v>
      </c>
      <c r="B4">
        <f>B2-B3</f>
        <v>0</v>
      </c>
      <c r="C4">
        <f>C2-C3</f>
        <v>0</v>
      </c>
      <c r="D4">
        <f>D2-D3</f>
        <v>0</v>
      </c>
      <c r="E4">
        <f>E2-E3</f>
        <v>0</v>
      </c>
      <c r="F4">
        <f>F2-F3</f>
        <v>0</v>
      </c>
    </row>
    <row r="5">
      <c r="A5" t="str">
        <v>Gross Margin %</v>
      </c>
      <c r="B5">
        <f>IFERROR(B4/B2,0)</f>
        <v>0</v>
      </c>
      <c r="C5">
        <f>IFERROR(C4/C2,0)</f>
        <v>0</v>
      </c>
      <c r="D5">
        <f>IFERROR(D4/D2,0)</f>
        <v>0</v>
      </c>
      <c r="E5">
        <f>IFERROR(E4/E2,0)</f>
        <v>0</v>
      </c>
      <c r="F5">
        <f>IFERROR(F4/F2,0)</f>
        <v>0</v>
      </c>
    </row>
    <row r="6">
      <c r="A6" t="str">
        <v>Operating Expenses</v>
      </c>
      <c r="B6">
        <f>IFERROR('[Cost-Model.xlsx]OpEx'!B13,0)</f>
        <v>0</v>
      </c>
      <c r="C6">
        <f>IFERROR('[Cost-Model.xlsx]OpEx'!C13,0)</f>
        <v>0</v>
      </c>
      <c r="D6">
        <f>IFERROR('[Cost-Model.xlsx]OpEx'!D13,0)</f>
        <v>0</v>
      </c>
      <c r="E6">
        <f>IFERROR('[Cost-Model.xlsx]OpEx'!E13,0)</f>
        <v>0</v>
      </c>
      <c r="F6">
        <f>IFERROR('[Cost-Model.xlsx]OpEx'!F13,0)</f>
        <v>0</v>
      </c>
    </row>
    <row r="7">
      <c r="A7" t="str">
        <v>EBITDA</v>
      </c>
      <c r="B7">
        <f>B4-B6</f>
        <v>0</v>
      </c>
      <c r="C7">
        <f>C4-C6</f>
        <v>0</v>
      </c>
      <c r="D7">
        <f>D4-D6</f>
        <v>0</v>
      </c>
      <c r="E7">
        <f>E4-E6</f>
        <v>0</v>
      </c>
      <c r="F7">
        <f>F4-F6</f>
        <v>0</v>
      </c>
    </row>
    <row r="8">
      <c r="A8" t="str">
        <v>D&amp;A</v>
      </c>
      <c r="B8">
        <f>B2*0.03</f>
        <v>0</v>
      </c>
      <c r="C8">
        <f>C2*0.03</f>
        <v>0</v>
      </c>
      <c r="D8">
        <f>D2*0.03</f>
        <v>0</v>
      </c>
      <c r="E8">
        <f>E2*0.03</f>
        <v>0</v>
      </c>
      <c r="F8">
        <f>F2*0.03</f>
        <v>0</v>
      </c>
    </row>
    <row r="9">
      <c r="A9" t="str">
        <v>EBIT</v>
      </c>
      <c r="B9">
        <f>B7-B8</f>
        <v>0</v>
      </c>
      <c r="C9">
        <f>C7-C8</f>
        <v>0</v>
      </c>
      <c r="D9">
        <f>D7-D8</f>
        <v>0</v>
      </c>
      <c r="E9">
        <f>E7-E8</f>
        <v>0</v>
      </c>
      <c r="F9">
        <f>F7-F8</f>
        <v>0</v>
      </c>
    </row>
    <row r="10">
      <c r="A10" t="str">
        <v>Interest Expense</v>
      </c>
      <c r="B10">
        <f>IFERROR(BalanceSheet!B10*'[Assumptions.xlsx]Global'!$B$13,0)</f>
        <v>0</v>
      </c>
      <c r="C10">
        <f>IFERROR(BalanceSheet!C10*'[Assumptions.xlsx]Global'!$B$13,0)</f>
        <v>0</v>
      </c>
      <c r="D10">
        <f>IFERROR(BalanceSheet!D10*'[Assumptions.xlsx]Global'!$B$13,0)</f>
        <v>0</v>
      </c>
      <c r="E10">
        <f>IFERROR(BalanceSheet!E10*'[Assumptions.xlsx]Global'!$B$13,0)</f>
        <v>0</v>
      </c>
      <c r="F10">
        <f>IFERROR(BalanceSheet!F10*'[Assumptions.xlsx]Global'!$B$13,0)</f>
        <v>0</v>
      </c>
    </row>
    <row r="11">
      <c r="A11" t="str">
        <v>EBT</v>
      </c>
      <c r="B11">
        <f>B9-B10</f>
        <v>0</v>
      </c>
      <c r="C11">
        <f>C9-C10</f>
        <v>0</v>
      </c>
      <c r="D11">
        <f>D9-D10</f>
        <v>0</v>
      </c>
      <c r="E11">
        <f>E9-E10</f>
        <v>0</v>
      </c>
      <c r="F11">
        <f>F9-F10</f>
        <v>0</v>
      </c>
    </row>
    <row r="12">
      <c r="A12" t="str">
        <v>Income Tax</v>
      </c>
      <c r="B12">
        <f>IF(B11&gt;0,IFERROR(B11*'[Assumptions.xlsx]Global'!$B$3,0),0)</f>
        <v>0</v>
      </c>
      <c r="C12">
        <f>IF(C11&gt;0,IFERROR(C11*'[Assumptions.xlsx]Global'!$B$3,0),0)</f>
        <v>0</v>
      </c>
      <c r="D12">
        <f>IF(D11&gt;0,IFERROR(D11*'[Assumptions.xlsx]Global'!$B$3,0),0)</f>
        <v>0</v>
      </c>
      <c r="E12">
        <f>IF(E11&gt;0,IFERROR(E11*'[Assumptions.xlsx]Global'!$B$3,0),0)</f>
        <v>0</v>
      </c>
      <c r="F12">
        <f>IF(F11&gt;0,IFERROR(F11*'[Assumptions.xlsx]Global'!$B$3,0),0)</f>
        <v>0</v>
      </c>
    </row>
    <row r="13">
      <c r="A13" t="str">
        <v>Net Income</v>
      </c>
      <c r="B13">
        <f>B11-B12</f>
        <v>0</v>
      </c>
      <c r="C13">
        <f>C11-C12</f>
        <v>0</v>
      </c>
      <c r="D13">
        <f>D11-D12</f>
        <v>0</v>
      </c>
      <c r="E13">
        <f>E11-E12</f>
        <v>0</v>
      </c>
      <c r="F13">
        <f>F11-F12</f>
        <v>0</v>
      </c>
    </row>
    <row r="14">
      <c r="A14" t="str">
        <v>Net Margin %</v>
      </c>
      <c r="B14">
        <f>IFERROR(B13/B2,0)</f>
        <v>0</v>
      </c>
      <c r="C14">
        <f>IFERROR(C13/C2,0)</f>
        <v>0</v>
      </c>
      <c r="D14">
        <f>IFERROR(D13/D2,0)</f>
        <v>0</v>
      </c>
      <c r="E14">
        <f>IFERROR(E13/E2,0)</f>
        <v>0</v>
      </c>
      <c r="F14">
        <f>IFERROR(F13/F2,0)</f>
        <v>0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 Item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Assets</v>
      </c>
    </row>
    <row r="3">
      <c r="A3" t="str">
        <v>Cash</v>
      </c>
      <c r="B3">
        <f>CashFlow!B19</f>
        <v>0</v>
      </c>
      <c r="C3">
        <f>CashFlow!C19</f>
        <v>0</v>
      </c>
      <c r="D3">
        <f>CashFlow!D19</f>
        <v>0</v>
      </c>
      <c r="E3">
        <f>CashFlow!E19</f>
        <v>0</v>
      </c>
      <c r="F3">
        <f>CashFlow!F19</f>
        <v>0</v>
      </c>
    </row>
    <row r="4">
      <c r="A4" t="str">
        <v>Accounts Receivable</v>
      </c>
      <c r="B4">
        <f>'P&amp;L'!B2/4</f>
        <v>0</v>
      </c>
      <c r="C4">
        <f>'P&amp;L'!C2/4</f>
        <v>0</v>
      </c>
      <c r="D4">
        <f>'P&amp;L'!D2/4</f>
        <v>0</v>
      </c>
      <c r="E4">
        <f>'P&amp;L'!E2/4</f>
        <v>0</v>
      </c>
      <c r="F4">
        <f>'P&amp;L'!F2/4</f>
        <v>0</v>
      </c>
    </row>
    <row r="5">
      <c r="A5" t="str">
        <v>PP&amp;E</v>
      </c>
      <c r="B5">
        <v>5000000</v>
      </c>
      <c r="C5">
        <f>B5-'P&amp;L'!C8+1000000</f>
        <v>0</v>
      </c>
      <c r="D5">
        <f>C5-'P&amp;L'!D8+1000000</f>
        <v>0</v>
      </c>
      <c r="E5">
        <f>D5-'P&amp;L'!E8+1000000</f>
        <v>0</v>
      </c>
      <c r="F5">
        <f>E5-'P&amp;L'!F8+1000000</f>
        <v>0</v>
      </c>
    </row>
    <row r="6">
      <c r="A6" t="str">
        <v>Total Assets</v>
      </c>
      <c r="B6">
        <f>SUM(B3:B5)</f>
        <v>0</v>
      </c>
      <c r="C6">
        <f>SUM(C3:C5)</f>
        <v>0</v>
      </c>
      <c r="D6">
        <f>SUM(D3:D5)</f>
        <v>0</v>
      </c>
      <c r="E6">
        <f>SUM(E3:E5)</f>
        <v>0</v>
      </c>
      <c r="F6">
        <f>SUM(F3:F5)</f>
        <v>0</v>
      </c>
    </row>
    <row r="8">
      <c r="A8" t="str">
        <v>Liabilities</v>
      </c>
    </row>
    <row r="9">
      <c r="A9" t="str">
        <v>Accounts Payable</v>
      </c>
      <c r="B9">
        <f>IFERROR('[Cost-Model.xlsx]COGS'!B6/6,0)</f>
        <v>0</v>
      </c>
      <c r="C9">
        <f>IFERROR('[Cost-Model.xlsx]COGS'!C6/6,0)</f>
        <v>0</v>
      </c>
      <c r="D9">
        <f>IFERROR('[Cost-Model.xlsx]COGS'!D6/6,0)</f>
        <v>0</v>
      </c>
      <c r="E9">
        <f>IFERROR('[Cost-Model.xlsx]COGS'!E6/6,0)</f>
        <v>0</v>
      </c>
      <c r="F9">
        <f>IFERROR('[Cost-Model.xlsx]COGS'!F6/6,0)</f>
        <v>0</v>
      </c>
    </row>
    <row r="10">
      <c r="A10" t="str">
        <v>Accrued Expenses</v>
      </c>
      <c r="B10">
        <f>IFERROR('[Cost-Model.xlsx]OpEx'!B13/12,0)</f>
        <v>0</v>
      </c>
      <c r="C10">
        <f>IFERROR('[Cost-Model.xlsx]OpEx'!C13/12,0)</f>
        <v>0</v>
      </c>
      <c r="D10">
        <f>IFERROR('[Cost-Model.xlsx]OpEx'!D13/12,0)</f>
        <v>0</v>
      </c>
      <c r="E10">
        <f>IFERROR('[Cost-Model.xlsx]OpEx'!E13/12,0)</f>
        <v>0</v>
      </c>
      <c r="F10">
        <f>IFERROR('[Cost-Model.xlsx]OpEx'!F13/12,0)</f>
        <v>0</v>
      </c>
    </row>
    <row r="11">
      <c r="A11" t="str">
        <v>Long-term Debt</v>
      </c>
      <c r="B11">
        <v>10000000</v>
      </c>
      <c r="C11">
        <f>IFERROR(B11-B11/'[Assumptions.xlsx]Global'!$B$14,0)</f>
        <v>0</v>
      </c>
      <c r="D11">
        <f>IFERROR(C11-C11/'[Assumptions.xlsx]Global'!$B$14,0)</f>
        <v>0</v>
      </c>
      <c r="E11">
        <f>IFERROR(D11-D11/'[Assumptions.xlsx]Global'!$B$14,0)</f>
        <v>0</v>
      </c>
      <c r="F11">
        <f>IFERROR(E11-E11/'[Assumptions.xlsx]Global'!$B$14,0)</f>
        <v>0</v>
      </c>
    </row>
    <row r="12">
      <c r="A12" t="str">
        <v>Total Liabilities</v>
      </c>
      <c r="B12">
        <f>SUM(B9:B11)</f>
        <v>0</v>
      </c>
      <c r="C12">
        <f>SUM(C9:C11)</f>
        <v>0</v>
      </c>
      <c r="D12">
        <f>SUM(D9:D11)</f>
        <v>0</v>
      </c>
      <c r="E12">
        <f>SUM(E9:E11)</f>
        <v>0</v>
      </c>
      <c r="F12">
        <f>SUM(F9:F11)</f>
        <v>0</v>
      </c>
    </row>
    <row r="14">
      <c r="A14" t="str">
        <v>Equity</v>
      </c>
    </row>
    <row r="15">
      <c r="A15" t="str">
        <v>Retained Earnings</v>
      </c>
      <c r="B15">
        <f>'P&amp;L'!B13</f>
        <v>0</v>
      </c>
      <c r="C15">
        <f>B15+'P&amp;L'!C13</f>
        <v>0</v>
      </c>
      <c r="D15">
        <f>C15+'P&amp;L'!D13</f>
        <v>0</v>
      </c>
      <c r="E15">
        <f>D15+'P&amp;L'!E13</f>
        <v>0</v>
      </c>
      <c r="F15">
        <f>E15+'P&amp;L'!F13</f>
        <v>0</v>
      </c>
    </row>
    <row r="16">
      <c r="A16" t="str">
        <v>Total Equity</v>
      </c>
      <c r="B16">
        <f>B15</f>
        <v>0</v>
      </c>
      <c r="C16">
        <f>C15</f>
        <v>0</v>
      </c>
      <c r="D16">
        <f>D15</f>
        <v>0</v>
      </c>
      <c r="E16">
        <f>E15</f>
        <v>0</v>
      </c>
      <c r="F16">
        <f>F15</f>
        <v>0</v>
      </c>
    </row>
    <row r="17">
      <c r="A17" t="str">
        <v>Total L+E</v>
      </c>
      <c r="B17">
        <f>B12+B16</f>
        <v>0</v>
      </c>
      <c r="C17">
        <f>C12+C16</f>
        <v>0</v>
      </c>
      <c r="D17">
        <f>D12+D16</f>
        <v>0</v>
      </c>
      <c r="E17">
        <f>E12+E16</f>
        <v>0</v>
      </c>
      <c r="F17">
        <f>F12+F16</f>
        <v>0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 Item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Operating Activities</v>
      </c>
    </row>
    <row r="3">
      <c r="A3" t="str">
        <v>Net Income</v>
      </c>
      <c r="B3">
        <f>'P&amp;L'!B13</f>
        <v>0</v>
      </c>
      <c r="C3">
        <f>'P&amp;L'!C13</f>
        <v>0</v>
      </c>
      <c r="D3">
        <f>'P&amp;L'!D13</f>
        <v>0</v>
      </c>
      <c r="E3">
        <f>'P&amp;L'!E13</f>
        <v>0</v>
      </c>
      <c r="F3">
        <f>'P&amp;L'!F13</f>
        <v>0</v>
      </c>
    </row>
    <row r="4">
      <c r="A4" t="str">
        <v>D&amp;A</v>
      </c>
      <c r="B4">
        <f>'P&amp;L'!B8</f>
        <v>0</v>
      </c>
      <c r="C4">
        <f>'P&amp;L'!C8</f>
        <v>0</v>
      </c>
      <c r="D4">
        <f>'P&amp;L'!D8</f>
        <v>0</v>
      </c>
      <c r="E4">
        <f>'P&amp;L'!E8</f>
        <v>0</v>
      </c>
      <c r="F4">
        <f>'P&amp;L'!F8</f>
        <v>0</v>
      </c>
    </row>
    <row r="5">
      <c r="A5" t="str">
        <v>Change in AR</v>
      </c>
      <c r="B5">
        <f>-BalanceSheet!B4</f>
        <v>0</v>
      </c>
      <c r="C5">
        <f>-(BalanceSheet!C4-BalanceSheet!B4)</f>
        <v>0</v>
      </c>
      <c r="D5">
        <f>-(BalanceSheet!D4-BalanceSheet!C4)</f>
        <v>0</v>
      </c>
      <c r="E5">
        <f>-(BalanceSheet!E4-BalanceSheet!D4)</f>
        <v>0</v>
      </c>
      <c r="F5">
        <f>-(BalanceSheet!F4-BalanceSheet!E4)</f>
        <v>0</v>
      </c>
    </row>
    <row r="6">
      <c r="A6" t="str">
        <v>Change in AP</v>
      </c>
      <c r="B6">
        <f>BalanceSheet!B9</f>
        <v>0</v>
      </c>
      <c r="C6">
        <f>BalanceSheet!C9-BalanceSheet!B9</f>
        <v>0</v>
      </c>
      <c r="D6">
        <f>BalanceSheet!D9-BalanceSheet!C9</f>
        <v>0</v>
      </c>
      <c r="E6">
        <f>BalanceSheet!E9-BalanceSheet!D9</f>
        <v>0</v>
      </c>
      <c r="F6">
        <f>BalanceSheet!F9-BalanceSheet!E9</f>
        <v>0</v>
      </c>
    </row>
    <row r="7">
      <c r="A7" t="str">
        <v>Operating Cash Flow</v>
      </c>
      <c r="B7">
        <f>SUM(B3:B6)</f>
        <v>0</v>
      </c>
      <c r="C7">
        <f>SUM(C3:C6)</f>
        <v>0</v>
      </c>
      <c r="D7">
        <f>SUM(D3:D6)</f>
        <v>0</v>
      </c>
      <c r="E7">
        <f>SUM(E3:E6)</f>
        <v>0</v>
      </c>
      <c r="F7">
        <f>SUM(F3:F6)</f>
        <v>0</v>
      </c>
    </row>
    <row r="9">
      <c r="A9" t="str">
        <v>Investing Activities</v>
      </c>
    </row>
    <row r="10">
      <c r="A10" t="str">
        <v>CapEx</v>
      </c>
      <c r="B10">
        <v>-1000000</v>
      </c>
      <c r="C10">
        <f>IFERROR(-1000000*(1+'[Assumptions.xlsx]Global'!$B$5)^1,0)</f>
        <v>0</v>
      </c>
      <c r="D10">
        <f>IFERROR(-1000000*(1+'[Assumptions.xlsx]Global'!$B$5)^2,0)</f>
        <v>0</v>
      </c>
      <c r="E10">
        <f>IFERROR(-1000000*(1+'[Assumptions.xlsx]Global'!$B$5)^3,0)</f>
        <v>0</v>
      </c>
      <c r="F10">
        <f>IFERROR(-1000000*(1+'[Assumptions.xlsx]Global'!$B$5)^4,0)</f>
        <v>0</v>
      </c>
    </row>
    <row r="11">
      <c r="A11" t="str">
        <v>Investing Cash Flow</v>
      </c>
      <c r="B11">
        <f>B10</f>
        <v>0</v>
      </c>
      <c r="C11">
        <f>C10</f>
        <v>0</v>
      </c>
      <c r="D11">
        <f>D10</f>
        <v>0</v>
      </c>
      <c r="E11">
        <f>E10</f>
        <v>0</v>
      </c>
      <c r="F11">
        <f>F10</f>
        <v>0</v>
      </c>
    </row>
    <row r="13">
      <c r="A13" t="str">
        <v>Financing Activities</v>
      </c>
    </row>
    <row r="14">
      <c r="A14" t="str">
        <v>Debt Repayment</v>
      </c>
      <c r="B14">
        <f>IFERROR(-BalanceSheet!B11/'[Assumptions.xlsx]Global'!$B$14,0)</f>
        <v>0</v>
      </c>
      <c r="C14">
        <f>IFERROR(-BalanceSheet!C11/'[Assumptions.xlsx]Global'!$B$14,0)</f>
        <v>0</v>
      </c>
      <c r="D14">
        <f>IFERROR(-BalanceSheet!D11/'[Assumptions.xlsx]Global'!$B$14,0)</f>
        <v>0</v>
      </c>
      <c r="E14">
        <f>IFERROR(-BalanceSheet!E11/'[Assumptions.xlsx]Global'!$B$14,0)</f>
        <v>0</v>
      </c>
      <c r="F14">
        <f>IFERROR(-BalanceSheet!F11/'[Assumptions.xlsx]Global'!$B$14,0)</f>
        <v>0</v>
      </c>
    </row>
    <row r="15">
      <c r="A15" t="str">
        <v>Financing Cash Flow</v>
      </c>
      <c r="B15">
        <f>B14</f>
        <v>0</v>
      </c>
      <c r="C15">
        <f>C14</f>
        <v>0</v>
      </c>
      <c r="D15">
        <f>D14</f>
        <v>0</v>
      </c>
      <c r="E15">
        <f>E14</f>
        <v>0</v>
      </c>
      <c r="F15">
        <f>F14</f>
        <v>0</v>
      </c>
    </row>
    <row r="17">
      <c r="A17" t="str">
        <v>Net Cash Flow</v>
      </c>
      <c r="B17">
        <f>B7+B11+B15</f>
        <v>0</v>
      </c>
      <c r="C17">
        <f>C7+C11+C15</f>
        <v>0</v>
      </c>
      <c r="D17">
        <f>D7+D11+D15</f>
        <v>0</v>
      </c>
      <c r="E17">
        <f>E7+E11+E15</f>
        <v>0</v>
      </c>
      <c r="F17">
        <f>F7+F11+F15</f>
        <v>0</v>
      </c>
    </row>
    <row r="18">
      <c r="A18" t="str">
        <v>Beginning Cash</v>
      </c>
      <c r="B18">
        <v>5000000</v>
      </c>
      <c r="C18">
        <f>B17+B19</f>
        <v>0</v>
      </c>
      <c r="D18">
        <f>C17+C19</f>
        <v>0</v>
      </c>
      <c r="E18">
        <f>D17+D19</f>
        <v>0</v>
      </c>
      <c r="F18">
        <f>E17+E19</f>
        <v>0</v>
      </c>
    </row>
    <row r="19">
      <c r="A19" t="str">
        <v>Ending Cash</v>
      </c>
      <c r="B19">
        <f>B17+B18</f>
        <v>0</v>
      </c>
      <c r="C19">
        <f>C17+C18</f>
        <v>0</v>
      </c>
      <c r="D19">
        <f>D17+D18</f>
        <v>0</v>
      </c>
      <c r="E19">
        <f>E17+E18</f>
        <v>0</v>
      </c>
      <c r="F19">
        <f>F17+F18</f>
        <v>0</v>
      </c>
    </row>
  </sheetData>
  <ignoredErrors>
    <ignoredError numberStoredAsText="1" sqref="A1:F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Ratio</v>
      </c>
      <c r="B1">
        <v>2024</v>
      </c>
      <c r="C1">
        <v>2025</v>
      </c>
      <c r="D1">
        <v>2026</v>
      </c>
      <c r="E1">
        <v>2027</v>
      </c>
      <c r="F1">
        <v>2028</v>
      </c>
    </row>
    <row r="2">
      <c r="A2" t="str">
        <v>Gross Margin</v>
      </c>
      <c r="B2">
        <f>'P&amp;L'!B5</f>
        <v>0</v>
      </c>
      <c r="C2">
        <f>'P&amp;L'!C5</f>
        <v>0</v>
      </c>
      <c r="D2">
        <f>'P&amp;L'!D5</f>
        <v>0</v>
      </c>
      <c r="E2">
        <f>'P&amp;L'!E5</f>
        <v>0</v>
      </c>
      <c r="F2">
        <f>'P&amp;L'!F5</f>
        <v>0</v>
      </c>
    </row>
    <row r="3">
      <c r="A3" t="str">
        <v>EBITDA Margin</v>
      </c>
      <c r="B3">
        <f>IFERROR('P&amp;L'!B7/'P&amp;L'!B2,0)</f>
        <v>0</v>
      </c>
      <c r="C3">
        <f>IFERROR('P&amp;L'!C7/'P&amp;L'!C2,0)</f>
        <v>0</v>
      </c>
      <c r="D3">
        <f>IFERROR('P&amp;L'!D7/'P&amp;L'!D2,0)</f>
        <v>0</v>
      </c>
      <c r="E3">
        <f>IFERROR('P&amp;L'!E7/'P&amp;L'!E2,0)</f>
        <v>0</v>
      </c>
      <c r="F3">
        <f>IFERROR('P&amp;L'!F7/'P&amp;L'!F2,0)</f>
        <v>0</v>
      </c>
    </row>
    <row r="4">
      <c r="A4" t="str">
        <v>Net Margin</v>
      </c>
      <c r="B4">
        <f>'P&amp;L'!B14</f>
        <v>0</v>
      </c>
      <c r="C4">
        <f>'P&amp;L'!C14</f>
        <v>0</v>
      </c>
      <c r="D4">
        <f>'P&amp;L'!D14</f>
        <v>0</v>
      </c>
      <c r="E4">
        <f>'P&amp;L'!E14</f>
        <v>0</v>
      </c>
      <c r="F4">
        <f>'P&amp;L'!F14</f>
        <v>0</v>
      </c>
    </row>
    <row r="5">
      <c r="A5" t="str">
        <v>ROE</v>
      </c>
      <c r="B5">
        <f>IFERROR('P&amp;L'!B13/BalanceSheet!B16,0)</f>
        <v>0</v>
      </c>
      <c r="C5">
        <f>IFERROR('P&amp;L'!C13/BalanceSheet!C16,0)</f>
        <v>0</v>
      </c>
      <c r="D5">
        <f>IFERROR('P&amp;L'!D13/BalanceSheet!D16,0)</f>
        <v>0</v>
      </c>
      <c r="E5">
        <f>IFERROR('P&amp;L'!E13/BalanceSheet!E16,0)</f>
        <v>0</v>
      </c>
      <c r="F5">
        <f>IFERROR('P&amp;L'!F13/BalanceSheet!F16,0)</f>
        <v>0</v>
      </c>
    </row>
    <row r="6">
      <c r="A6" t="str">
        <v>Debt/Equity</v>
      </c>
      <c r="B6">
        <f>IFERROR(BalanceSheet!B11/BalanceSheet!B16,0)</f>
        <v>0</v>
      </c>
      <c r="C6">
        <f>IFERROR(BalanceSheet!C11/BalanceSheet!C16,0)</f>
        <v>0</v>
      </c>
      <c r="D6">
        <f>IFERROR(BalanceSheet!D11/BalanceSheet!D16,0)</f>
        <v>0</v>
      </c>
      <c r="E6">
        <f>IFERROR(BalanceSheet!E11/BalanceSheet!E16,0)</f>
        <v>0</v>
      </c>
      <c r="F6">
        <f>IFERROR(BalanceSheet!F11/BalanceSheet!F16,0)</f>
        <v>0</v>
      </c>
    </row>
    <row r="7">
      <c r="A7" t="str">
        <v>Current Ratio</v>
      </c>
      <c r="B7">
        <f>IFERROR((BalanceSheet!B3+BalanceSheet!B4)/(BalanceSheet!B9+BalanceSheet!B10),0)</f>
        <v>0</v>
      </c>
      <c r="C7">
        <f>IFERROR((BalanceSheet!C3+BalanceSheet!C4)/(BalanceSheet!C9+BalanceSheet!C10),0)</f>
        <v>0</v>
      </c>
      <c r="D7">
        <f>IFERROR((BalanceSheet!D3+BalanceSheet!D4)/(BalanceSheet!D9+BalanceSheet!D10),0)</f>
        <v>0</v>
      </c>
      <c r="E7">
        <f>IFERROR((BalanceSheet!E3+BalanceSheet!E4)/(BalanceSheet!E9+BalanceSheet!E10),0)</f>
        <v>0</v>
      </c>
      <c r="F7">
        <f>IFERROR((BalanceSheet!F3+BalanceSheet!F4)/(BalanceSheet!F9+BalanceSheet!F10),0)</f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Working</vt:lpstr>
      <vt:lpstr>P&amp;L</vt:lpstr>
      <vt:lpstr>BalanceSheet</vt:lpstr>
      <vt:lpstr>CashFlow</vt:lpstr>
      <vt:lpstr>Ratios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
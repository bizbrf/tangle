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Volume" sheetId="2" r:id="rId2"/>
    <sheet name="Pricing" sheetId="3" r:id="rId3"/>
    <sheet name="Revenue" sheetId="4" r:id="rId4"/>
    <sheet name="Mix Analys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ProductID</v>
      </c>
      <c r="B1" t="str">
        <v>Product Name</v>
      </c>
      <c r="C1" t="str">
        <v>Category</v>
      </c>
      <c r="D1" t="str">
        <v>Base Price</v>
      </c>
      <c r="E1" t="str">
        <v>Launch Year</v>
      </c>
      <c r="F1" t="str">
        <v>Status</v>
      </c>
    </row>
    <row r="2">
      <c r="A2" t="str">
        <v>P001</v>
      </c>
      <c r="B2" t="str">
        <v>Enterprise Suite</v>
      </c>
      <c r="C2" t="str">
        <v>Software</v>
      </c>
      <c r="D2">
        <v>50000</v>
      </c>
      <c r="E2">
        <v>2020</v>
      </c>
      <c r="F2" t="str">
        <v>Active</v>
      </c>
    </row>
    <row r="3">
      <c r="A3" t="str">
        <v>P002</v>
      </c>
      <c r="B3" t="str">
        <v>Cloud Platform</v>
      </c>
      <c r="C3" t="str">
        <v>SaaS</v>
      </c>
      <c r="D3">
        <v>2500</v>
      </c>
      <c r="E3">
        <v>2022</v>
      </c>
      <c r="F3" t="str">
        <v>Active</v>
      </c>
    </row>
    <row r="4">
      <c r="A4" t="str">
        <v>P003</v>
      </c>
      <c r="B4" t="str">
        <v>Analytics Pro</v>
      </c>
      <c r="C4" t="str">
        <v>Add-on</v>
      </c>
      <c r="D4">
        <v>15000</v>
      </c>
      <c r="E4">
        <v>2023</v>
      </c>
      <c r="F4" t="str">
        <v>Active</v>
      </c>
    </row>
    <row r="5">
      <c r="A5" t="str">
        <v>P004</v>
      </c>
      <c r="B5" t="str">
        <v>Mobile SDK</v>
      </c>
      <c r="C5" t="str">
        <v>Developer</v>
      </c>
      <c r="D5">
        <v>800</v>
      </c>
      <c r="E5">
        <v>2024</v>
      </c>
      <c r="F5" t="str">
        <v>Beta</v>
      </c>
    </row>
    <row r="6">
      <c r="A6" t="str">
        <v>P005</v>
      </c>
      <c r="B6" t="str">
        <v>Consulting Hours</v>
      </c>
      <c r="C6" t="str">
        <v>Services</v>
      </c>
      <c r="D6">
        <v>250</v>
      </c>
      <c r="E6">
        <v>2020</v>
      </c>
      <c r="F6" t="str">
        <v>Active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Enterprise Suite</v>
      </c>
      <c r="B2">
        <v>200</v>
      </c>
      <c r="C2">
        <f>IFERROR(B2*(1+'[Assumptions.xlsx]Rates'!$B$2*1),B2)</f>
        <v>0</v>
      </c>
      <c r="D2">
        <f>IFERROR(C2*(1+'[Assumptions.xlsx]Rates'!$B$3*1),C2)</f>
        <v>0</v>
      </c>
      <c r="E2">
        <f>IFERROR(D2*(1+'[Assumptions.xlsx]Rates'!$B$4*1),D2)</f>
        <v>0</v>
      </c>
      <c r="F2">
        <f>IFERROR(E2*(1+'[Assumptions.xlsx]Rates'!$B$5*1),E2)</f>
        <v>0</v>
      </c>
    </row>
    <row r="3">
      <c r="A3" t="str">
        <v>Cloud Platform</v>
      </c>
      <c r="B3">
        <v>5000</v>
      </c>
      <c r="C3">
        <f>IFERROR(B3*(1+'[Assumptions.xlsx]Rates'!$B$2*1.5),B3)</f>
        <v>0</v>
      </c>
      <c r="D3">
        <f>IFERROR(C3*(1+'[Assumptions.xlsx]Rates'!$B$3*1.5),C3)</f>
        <v>0</v>
      </c>
      <c r="E3">
        <f>IFERROR(D3*(1+'[Assumptions.xlsx]Rates'!$B$4*1.5),D3)</f>
        <v>0</v>
      </c>
      <c r="F3">
        <f>IFERROR(E3*(1+'[Assumptions.xlsx]Rates'!$B$5*1.5),E3)</f>
        <v>0</v>
      </c>
    </row>
    <row r="4">
      <c r="A4" t="str">
        <v>Analytics Pro</v>
      </c>
      <c r="B4">
        <v>800</v>
      </c>
      <c r="C4">
        <f>IFERROR(B4*(1+'[Assumptions.xlsx]Rates'!$B$2*1.2),B4)</f>
        <v>0</v>
      </c>
      <c r="D4">
        <f>IFERROR(C4*(1+'[Assumptions.xlsx]Rates'!$B$3*1.2),C4)</f>
        <v>0</v>
      </c>
      <c r="E4">
        <f>IFERROR(D4*(1+'[Assumptions.xlsx]Rates'!$B$4*1.2),D4)</f>
        <v>0</v>
      </c>
      <c r="F4">
        <f>IFERROR(E4*(1+'[Assumptions.xlsx]Rates'!$B$5*1.2),E4)</f>
        <v>0</v>
      </c>
    </row>
    <row r="5">
      <c r="A5" t="str">
        <v>Mobile SDK</v>
      </c>
      <c r="B5">
        <v>100</v>
      </c>
      <c r="C5">
        <f>IFERROR(B5*(1+'[Assumptions.xlsx]Rates'!$B$2*2),B5)</f>
        <v>0</v>
      </c>
      <c r="D5">
        <f>IFERROR(C5*(1+'[Assumptions.xlsx]Rates'!$B$3*2),C5)</f>
        <v>0</v>
      </c>
      <c r="E5">
        <f>IFERROR(D5*(1+'[Assumptions.xlsx]Rates'!$B$4*2),D5)</f>
        <v>0</v>
      </c>
      <c r="F5">
        <f>IFERROR(E5*(1+'[Assumptions.xlsx]Rates'!$B$5*2),E5)</f>
        <v>0</v>
      </c>
    </row>
    <row r="6">
      <c r="A6" t="str">
        <v>Consulting Hours</v>
      </c>
      <c r="B6">
        <v>10000</v>
      </c>
      <c r="C6">
        <f>IFERROR(B6*(1+'[Assumptions.xlsx]Rates'!$B$2*0.5),B6)</f>
        <v>0</v>
      </c>
      <c r="D6">
        <f>IFERROR(C6*(1+'[Assumptions.xlsx]Rates'!$B$3*0.5),C6)</f>
        <v>0</v>
      </c>
      <c r="E6">
        <f>IFERROR(D6*(1+'[Assumptions.xlsx]Rates'!$B$4*0.5),D6)</f>
        <v>0</v>
      </c>
      <c r="F6">
        <f>IFERROR(E6*(1+'[Assumptions.xlsx]Rates'!$B$5*0.5),E6)</f>
        <v>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Enterprise Suite</v>
      </c>
      <c r="B2">
        <f>VLOOKUP(A2,Products!$A$1:$F$6,4,FALSE)</f>
        <v>0</v>
      </c>
      <c r="C2">
        <f>B2*(1+'[Assumptions.xlsx]Global'!$B$5)</f>
        <v>0</v>
      </c>
      <c r="D2">
        <f>C2*(1+'[Assumptions.xlsx]Global'!$B$5)</f>
        <v>0</v>
      </c>
      <c r="E2">
        <f>D2*(1+'[Assumptions.xlsx]Global'!$B$5)</f>
        <v>0</v>
      </c>
      <c r="F2">
        <f>E2*(1+'[Assumptions.xlsx]Global'!$B$5)</f>
        <v>0</v>
      </c>
    </row>
    <row r="3">
      <c r="A3" t="str">
        <v>Cloud Platform</v>
      </c>
      <c r="B3">
        <f>VLOOKUP(A3,Products!$A$1:$F$6,4,FALSE)</f>
        <v>0</v>
      </c>
      <c r="C3">
        <f>B3*(1+'[Assumptions.xlsx]Global'!$B$5)</f>
        <v>0</v>
      </c>
      <c r="D3">
        <f>C3*(1+'[Assumptions.xlsx]Global'!$B$5)</f>
        <v>0</v>
      </c>
      <c r="E3">
        <f>D3*(1+'[Assumptions.xlsx]Global'!$B$5)</f>
        <v>0</v>
      </c>
      <c r="F3">
        <f>E3*(1+'[Assumptions.xlsx]Global'!$B$5)</f>
        <v>0</v>
      </c>
    </row>
    <row r="4">
      <c r="A4" t="str">
        <v>Analytics Pro</v>
      </c>
      <c r="B4">
        <f>VLOOKUP(A4,Products!$A$1:$F$6,4,FALSE)</f>
        <v>0</v>
      </c>
      <c r="C4">
        <f>B4*(1+'[Assumptions.xlsx]Global'!$B$5)</f>
        <v>0</v>
      </c>
      <c r="D4">
        <f>C4*(1+'[Assumptions.xlsx]Global'!$B$5)</f>
        <v>0</v>
      </c>
      <c r="E4">
        <f>D4*(1+'[Assumptions.xlsx]Global'!$B$5)</f>
        <v>0</v>
      </c>
      <c r="F4">
        <f>E4*(1+'[Assumptions.xlsx]Global'!$B$5)</f>
        <v>0</v>
      </c>
    </row>
    <row r="5">
      <c r="A5" t="str">
        <v>Mobile SDK</v>
      </c>
      <c r="B5">
        <f>XLOOKUP(A5,Products!A:A,Products!D:D)</f>
        <v>0</v>
      </c>
      <c r="C5">
        <f>B5*(1+'[Assumptions.xlsx]Global'!$B$5)</f>
        <v>0</v>
      </c>
      <c r="D5">
        <f>C5*(1+'[Assumptions.xlsx]Global'!$B$5)</f>
        <v>0</v>
      </c>
      <c r="E5">
        <f>D5*(1+'[Assumptions.xlsx]Global'!$B$5)</f>
        <v>0</v>
      </c>
      <c r="F5">
        <f>E5*(1+'[Assumptions.xlsx]Global'!$B$5)</f>
        <v>0</v>
      </c>
    </row>
    <row r="6">
      <c r="A6" t="str">
        <v>Consulting Hours</v>
      </c>
      <c r="B6">
        <f>XLOOKUP(A6,Products!A:A,Products!D:D)</f>
        <v>0</v>
      </c>
      <c r="C6">
        <f>B6*(1+'[Assumptions.xlsx]Global'!$B$5)</f>
        <v>0</v>
      </c>
      <c r="D6">
        <f>C6*(1+'[Assumptions.xlsx]Global'!$B$5)</f>
        <v>0</v>
      </c>
      <c r="E6">
        <f>D6*(1+'[Assumptions.xlsx]Global'!$B$5)</f>
        <v>0</v>
      </c>
      <c r="F6">
        <f>E6*(1+'[Assumptions.xlsx]Global'!$B$5)</f>
        <v>0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>
        <v>2024</v>
      </c>
      <c r="C1">
        <v>2025</v>
      </c>
      <c r="D1">
        <v>2026</v>
      </c>
      <c r="E1">
        <v>2027</v>
      </c>
      <c r="F1">
        <v>2028</v>
      </c>
      <c r="G1" t="str">
        <v>Total</v>
      </c>
    </row>
    <row r="2">
      <c r="A2" t="str">
        <v>Enterprise Suite</v>
      </c>
      <c r="B2">
        <f>Volume!B2*Pricing!B2</f>
        <v>0</v>
      </c>
      <c r="C2">
        <f>Volume!C2*Pricing!C2</f>
        <v>0</v>
      </c>
      <c r="D2">
        <f>Volume!D2*Pricing!D2</f>
        <v>0</v>
      </c>
      <c r="E2">
        <f>Volume!E2*Pricing!E2</f>
        <v>0</v>
      </c>
      <c r="F2">
        <f>Volume!F2*Pricing!F2</f>
        <v>0</v>
      </c>
      <c r="G2">
        <f>SUM(B2:F2)</f>
        <v>0</v>
      </c>
    </row>
    <row r="3">
      <c r="A3" t="str">
        <v>Cloud Platform</v>
      </c>
      <c r="B3">
        <f>Volume!B3*Pricing!B3</f>
        <v>0</v>
      </c>
      <c r="C3">
        <f>Volume!C3*Pricing!C3</f>
        <v>0</v>
      </c>
      <c r="D3">
        <f>Volume!D3*Pricing!D3</f>
        <v>0</v>
      </c>
      <c r="E3">
        <f>Volume!E3*Pricing!E3</f>
        <v>0</v>
      </c>
      <c r="F3">
        <f>Volume!F3*Pricing!F3</f>
        <v>0</v>
      </c>
      <c r="G3">
        <f>SUM(B3:F3)</f>
        <v>0</v>
      </c>
    </row>
    <row r="4">
      <c r="A4" t="str">
        <v>Analytics Pro</v>
      </c>
      <c r="B4">
        <f>Volume!B4*Pricing!B4</f>
        <v>0</v>
      </c>
      <c r="C4">
        <f>Volume!C4*Pricing!C4</f>
        <v>0</v>
      </c>
      <c r="D4">
        <f>Volume!D4*Pricing!D4</f>
        <v>0</v>
      </c>
      <c r="E4">
        <f>Volume!E4*Pricing!E4</f>
        <v>0</v>
      </c>
      <c r="F4">
        <f>Volume!F4*Pricing!F4</f>
        <v>0</v>
      </c>
      <c r="G4">
        <f>SUM(B4:F4)</f>
        <v>0</v>
      </c>
    </row>
    <row r="5">
      <c r="A5" t="str">
        <v>Mobile SDK</v>
      </c>
      <c r="B5">
        <f>Volume!B5*Pricing!B5</f>
        <v>0</v>
      </c>
      <c r="C5">
        <f>Volume!C5*Pricing!C5</f>
        <v>0</v>
      </c>
      <c r="D5">
        <f>Volume!D5*Pricing!D5</f>
        <v>0</v>
      </c>
      <c r="E5">
        <f>Volume!E5*Pricing!E5</f>
        <v>0</v>
      </c>
      <c r="F5">
        <f>Volume!F5*Pricing!F5</f>
        <v>0</v>
      </c>
      <c r="G5">
        <f>SUM(B5:F5)</f>
        <v>0</v>
      </c>
    </row>
    <row r="6">
      <c r="A6" t="str">
        <v>Consulting Hours</v>
      </c>
      <c r="B6">
        <f>Volume!B6*Pricing!B6</f>
        <v>0</v>
      </c>
      <c r="C6">
        <f>Volume!C6*Pricing!C6</f>
        <v>0</v>
      </c>
      <c r="D6">
        <f>Volume!D6*Pricing!D6</f>
        <v>0</v>
      </c>
      <c r="E6">
        <f>Volume!E6*Pricing!E6</f>
        <v>0</v>
      </c>
      <c r="F6">
        <f>Volume!F6*Pricing!F6</f>
        <v>0</v>
      </c>
      <c r="G6">
        <f>SUM(B6:F6)</f>
        <v>0</v>
      </c>
    </row>
    <row r="7">
      <c r="A7" t="str">
        <v>Total</v>
      </c>
      <c r="B7">
        <f>SUM(B2:B6)</f>
        <v>0</v>
      </c>
      <c r="C7">
        <f>SUM(C2:C6)</f>
        <v>0</v>
      </c>
      <c r="D7">
        <f>SUM(D2:D6)</f>
        <v>0</v>
      </c>
      <c r="E7">
        <f>SUM(E2:E6)</f>
        <v>0</v>
      </c>
      <c r="F7">
        <f>SUM(F2:F6)</f>
        <v>0</v>
      </c>
      <c r="G7">
        <f>SUM(B7:F7)</f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Product</v>
      </c>
      <c r="B1" t="str">
        <v>2024 Mix</v>
      </c>
      <c r="C1" t="str">
        <v>2028 Mix</v>
      </c>
      <c r="D1" t="str">
        <v>Mix Shift</v>
      </c>
      <c r="E1" t="str">
        <v>CAGR</v>
      </c>
    </row>
    <row r="2">
      <c r="A2" t="str">
        <v>Enterprise Suite</v>
      </c>
      <c r="B2">
        <f>IFERROR(Revenue!B2/Revenue!B7,0)</f>
        <v>0</v>
      </c>
      <c r="C2">
        <f>IFERROR(Revenue!F2/Revenue!F7,0)</f>
        <v>0</v>
      </c>
      <c r="D2">
        <f>C2-B2</f>
        <v>0</v>
      </c>
      <c r="E2">
        <f>IFERROR((Pricing!F2/Pricing!B2)^(1/4)-1,0)</f>
        <v>0</v>
      </c>
    </row>
    <row r="3">
      <c r="A3" t="str">
        <v>Cloud Platform</v>
      </c>
      <c r="B3">
        <f>IFERROR(Revenue!B3/Revenue!B7,0)</f>
        <v>0</v>
      </c>
      <c r="C3">
        <f>IFERROR(Revenue!F3/Revenue!F7,0)</f>
        <v>0</v>
      </c>
      <c r="D3">
        <f>C3-B3</f>
        <v>0</v>
      </c>
      <c r="E3">
        <f>IFERROR((Pricing!F3/Pricing!B3)^(1/4)-1,0)</f>
        <v>0</v>
      </c>
    </row>
    <row r="4">
      <c r="A4" t="str">
        <v>Analytics Pro</v>
      </c>
      <c r="B4">
        <f>IFERROR(Revenue!B4/Revenue!B7,0)</f>
        <v>0</v>
      </c>
      <c r="C4">
        <f>IFERROR(Revenue!F4/Revenue!F7,0)</f>
        <v>0</v>
      </c>
      <c r="D4">
        <f>C4-B4</f>
        <v>0</v>
      </c>
      <c r="E4">
        <f>IFERROR((Pricing!F4/Pricing!B4)^(1/4)-1,0)</f>
        <v>0</v>
      </c>
    </row>
    <row r="5">
      <c r="A5" t="str">
        <v>Mobile SDK</v>
      </c>
      <c r="B5">
        <f>IFERROR(Revenue!B5/Revenue!B7,0)</f>
        <v>0</v>
      </c>
      <c r="C5">
        <f>IFERROR(Revenue!F5/Revenue!F7,0)</f>
        <v>0</v>
      </c>
      <c r="D5">
        <f>C5-B5</f>
        <v>0</v>
      </c>
      <c r="E5">
        <f>IFERROR((Pricing!F5/Pricing!B5)^(1/4)-1,0)</f>
        <v>0</v>
      </c>
    </row>
    <row r="6">
      <c r="A6" t="str">
        <v>Consulting Hours</v>
      </c>
      <c r="B6">
        <f>IFERROR(Revenue!B6/Revenue!B7,0)</f>
        <v>0</v>
      </c>
      <c r="C6">
        <f>IFERROR(Revenue!F6/Revenue!F7,0)</f>
        <v>0</v>
      </c>
      <c r="D6">
        <f>C6-B6</f>
        <v>0</v>
      </c>
      <c r="E6">
        <f>IFERROR((Pricing!F6/Pricing!B6)^(1/4)-1,0)</f>
        <v>0</v>
      </c>
    </row>
    <row r="8">
      <c r="A8" t="str">
        <v>Revenue CAGR</v>
      </c>
      <c r="B8">
        <f>LET(rev2024,Revenue!B7,rev2028,Revenue!F7,cagr,IFERROR((rev2028/rev2024)^(1/4)-1,0),cagr)</f>
        <v>0</v>
      </c>
    </row>
    <row r="9">
      <c r="A9" t="str">
        <v>Active Product Rev</v>
      </c>
      <c r="B9">
        <f>SUMPRODUCT((Products!F2:F6="Active")*(Revenue!B2:B6))</f>
        <v>0</v>
      </c>
    </row>
    <row r="10">
      <c r="A10" t="str">
        <v>Top Product Lookup</v>
      </c>
      <c r="B10">
        <f>IFERROR(INDEX(Revenue!B2:F6,MATCH(MAX(Revenue!G2:G6),Revenue!G2:G6,0),1),0)</f>
        <v>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Volume</vt:lpstr>
      <vt:lpstr>Pricing</vt:lpstr>
      <vt:lpstr>Revenue</vt:lpstr>
      <vt:lpstr>Mix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
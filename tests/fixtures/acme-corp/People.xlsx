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count" sheetId="1" r:id="rId1"/>
    <sheet name="Compensation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Department</v>
      </c>
      <c r="B1" t="str">
        <v>Role</v>
      </c>
      <c r="C1" t="str">
        <v>2024 HC</v>
      </c>
      <c r="D1" t="str">
        <v>2025 HC</v>
      </c>
      <c r="E1" t="str">
        <v>2026 HC</v>
      </c>
      <c r="F1" t="str">
        <v>2027 HC</v>
      </c>
      <c r="G1" t="str">
        <v>2028 HC</v>
      </c>
      <c r="H1" t="str">
        <v>Avg Salary</v>
      </c>
      <c r="I1" t="str">
        <v>Seniority</v>
      </c>
    </row>
    <row r="2">
      <c r="A2" t="str">
        <v>Engineering</v>
      </c>
      <c r="B2" t="str">
        <v>Developer</v>
      </c>
      <c r="C2">
        <v>25</v>
      </c>
      <c r="D2">
        <f>ROUND(IFERROR(C2*(1+'[Assumptions.xlsx]Global'!$B$10*1),C2),0)</f>
        <v>0</v>
      </c>
      <c r="E2">
        <f>ROUND(IFERROR(D2*(1+'[Assumptions.xlsx]Global'!$B$10*1),D2),0)</f>
        <v>0</v>
      </c>
      <c r="F2">
        <f>ROUND(IFERROR(E2*(1+'[Assumptions.xlsx]Global'!$B$10*1),E2),0)</f>
        <v>0</v>
      </c>
      <c r="G2">
        <f>ROUND(IFERROR(F2*(1+'[Assumptions.xlsx]Global'!$B$10*1),F2),0)</f>
        <v>0</v>
      </c>
      <c r="H2">
        <v>120000</v>
      </c>
      <c r="I2" t="str">
        <v>Mid</v>
      </c>
    </row>
    <row r="3">
      <c r="A3" t="str">
        <v>Engineering</v>
      </c>
      <c r="B3" t="str">
        <v>QA</v>
      </c>
      <c r="C3">
        <v>8</v>
      </c>
      <c r="D3">
        <f>ROUND(IFERROR(C3*(1+'[Assumptions.xlsx]Global'!$B$10*0.8),C3),0)</f>
        <v>0</v>
      </c>
      <c r="E3">
        <f>ROUND(IFERROR(D3*(1+'[Assumptions.xlsx]Global'!$B$10*0.8),D3),0)</f>
        <v>0</v>
      </c>
      <c r="F3">
        <f>ROUND(IFERROR(E3*(1+'[Assumptions.xlsx]Global'!$B$10*0.8),E3),0)</f>
        <v>0</v>
      </c>
      <c r="G3">
        <f>ROUND(IFERROR(F3*(1+'[Assumptions.xlsx]Global'!$B$10*0.8),F3),0)</f>
        <v>0</v>
      </c>
      <c r="H3">
        <v>95000</v>
      </c>
      <c r="I3" t="str">
        <v>Mid</v>
      </c>
    </row>
    <row r="4">
      <c r="A4" t="str">
        <v>Engineering</v>
      </c>
      <c r="B4" t="str">
        <v>DevOps</v>
      </c>
      <c r="C4">
        <v>5</v>
      </c>
      <c r="D4">
        <f>ROUND(IFERROR(C4*(1+'[Assumptions.xlsx]Global'!$B$10*0.6),C4),0)</f>
        <v>0</v>
      </c>
      <c r="E4">
        <f>ROUND(IFERROR(D4*(1+'[Assumptions.xlsx]Global'!$B$10*0.6),D4),0)</f>
        <v>0</v>
      </c>
      <c r="F4">
        <f>ROUND(IFERROR(E4*(1+'[Assumptions.xlsx]Global'!$B$10*0.6),E4),0)</f>
        <v>0</v>
      </c>
      <c r="G4">
        <f>ROUND(IFERROR(F4*(1+'[Assumptions.xlsx]Global'!$B$10*0.6),F4),0)</f>
        <v>0</v>
      </c>
      <c r="H4">
        <v>130000</v>
      </c>
      <c r="I4" t="str">
        <v>Senior</v>
      </c>
    </row>
    <row r="5">
      <c r="A5" t="str">
        <v>Engineering</v>
      </c>
      <c r="B5" t="str">
        <v>Manager</v>
      </c>
      <c r="C5">
        <v>4</v>
      </c>
      <c r="D5">
        <f>ROUND(IFERROR(C5*(1+'[Assumptions.xlsx]Global'!$B$10*0.3),C5),0)</f>
        <v>0</v>
      </c>
      <c r="E5">
        <f>ROUND(IFERROR(D5*(1+'[Assumptions.xlsx]Global'!$B$10*0.3),D5),0)</f>
        <v>0</v>
      </c>
      <c r="F5">
        <f>ROUND(IFERROR(E5*(1+'[Assumptions.xlsx]Global'!$B$10*0.3),E5),0)</f>
        <v>0</v>
      </c>
      <c r="G5">
        <f>ROUND(IFERROR(F5*(1+'[Assumptions.xlsx]Global'!$B$10*0.3),F5),0)</f>
        <v>0</v>
      </c>
      <c r="H5">
        <v>150000</v>
      </c>
      <c r="I5" t="str">
        <v>Senior</v>
      </c>
    </row>
    <row r="6">
      <c r="A6" t="str">
        <v>Sales</v>
      </c>
      <c r="B6" t="str">
        <v>Account Exec</v>
      </c>
      <c r="C6">
        <v>15</v>
      </c>
      <c r="D6">
        <f>ROUND(IFERROR(C6*(1+'[Assumptions.xlsx]Global'!$B$10*1.2),C6),0)</f>
        <v>0</v>
      </c>
      <c r="E6">
        <f>ROUND(IFERROR(D6*(1+'[Assumptions.xlsx]Global'!$B$10*1.2),D6),0)</f>
        <v>0</v>
      </c>
      <c r="F6">
        <f>ROUND(IFERROR(E6*(1+'[Assumptions.xlsx]Global'!$B$10*1.2),E6),0)</f>
        <v>0</v>
      </c>
      <c r="G6">
        <f>ROUND(IFERROR(F6*(1+'[Assumptions.xlsx]Global'!$B$10*1.2),F6),0)</f>
        <v>0</v>
      </c>
      <c r="H6">
        <v>85000</v>
      </c>
      <c r="I6" t="str">
        <v>Mid</v>
      </c>
    </row>
    <row r="7">
      <c r="A7" t="str">
        <v>Sales</v>
      </c>
      <c r="B7" t="str">
        <v>SDR</v>
      </c>
      <c r="C7">
        <v>10</v>
      </c>
      <c r="D7">
        <f>ROUND(IFERROR(C7*(1+'[Assumptions.xlsx]Global'!$B$10*1.5),C7),0)</f>
        <v>0</v>
      </c>
      <c r="E7">
        <f>ROUND(IFERROR(D7*(1+'[Assumptions.xlsx]Global'!$B$10*1.5),D7),0)</f>
        <v>0</v>
      </c>
      <c r="F7">
        <f>ROUND(IFERROR(E7*(1+'[Assumptions.xlsx]Global'!$B$10*1.5),E7),0)</f>
        <v>0</v>
      </c>
      <c r="G7">
        <f>ROUND(IFERROR(F7*(1+'[Assumptions.xlsx]Global'!$B$10*1.5),F7),0)</f>
        <v>0</v>
      </c>
      <c r="H7">
        <v>55000</v>
      </c>
      <c r="I7" t="str">
        <v>Junior</v>
      </c>
    </row>
    <row r="8">
      <c r="A8" t="str">
        <v>Sales</v>
      </c>
      <c r="B8" t="str">
        <v>Manager</v>
      </c>
      <c r="C8">
        <v>3</v>
      </c>
      <c r="D8">
        <f>ROUND(IFERROR(C8*(1+'[Assumptions.xlsx]Global'!$B$10*0.2),C8),0)</f>
        <v>0</v>
      </c>
      <c r="E8">
        <f>ROUND(IFERROR(D8*(1+'[Assumptions.xlsx]Global'!$B$10*0.2),D8),0)</f>
        <v>0</v>
      </c>
      <c r="F8">
        <f>ROUND(IFERROR(E8*(1+'[Assumptions.xlsx]Global'!$B$10*0.2),E8),0)</f>
        <v>0</v>
      </c>
      <c r="G8">
        <f>ROUND(IFERROR(F8*(1+'[Assumptions.xlsx]Global'!$B$10*0.2),F8),0)</f>
        <v>0</v>
      </c>
      <c r="H8">
        <v>140000</v>
      </c>
      <c r="I8" t="str">
        <v>Senior</v>
      </c>
    </row>
    <row r="9">
      <c r="A9" t="str">
        <v>Marketing</v>
      </c>
      <c r="B9" t="str">
        <v>Content</v>
      </c>
      <c r="C9">
        <v>4</v>
      </c>
      <c r="D9">
        <f>ROUND(IFERROR(C9*(1+'[Assumptions.xlsx]Global'!$B$10*0.7),C9),0)</f>
        <v>0</v>
      </c>
      <c r="E9">
        <f>ROUND(IFERROR(D9*(1+'[Assumptions.xlsx]Global'!$B$10*0.7),D9),0)</f>
        <v>0</v>
      </c>
      <c r="F9">
        <f>ROUND(IFERROR(E9*(1+'[Assumptions.xlsx]Global'!$B$10*0.7),E9),0)</f>
        <v>0</v>
      </c>
      <c r="G9">
        <f>ROUND(IFERROR(F9*(1+'[Assumptions.xlsx]Global'!$B$10*0.7),F9),0)</f>
        <v>0</v>
      </c>
      <c r="H9">
        <v>75000</v>
      </c>
      <c r="I9" t="str">
        <v>Mid</v>
      </c>
    </row>
    <row r="10">
      <c r="A10" t="str">
        <v>Marketing</v>
      </c>
      <c r="B10" t="str">
        <v>Demand Gen</v>
      </c>
      <c r="C10">
        <v>3</v>
      </c>
      <c r="D10">
        <f>ROUND(IFERROR(C10*(1+'[Assumptions.xlsx]Global'!$B$10*0.9),C10),0)</f>
        <v>0</v>
      </c>
      <c r="E10">
        <f>ROUND(IFERROR(D10*(1+'[Assumptions.xlsx]Global'!$B$10*0.9),D10),0)</f>
        <v>0</v>
      </c>
      <c r="F10">
        <f>ROUND(IFERROR(E10*(1+'[Assumptions.xlsx]Global'!$B$10*0.9),E10),0)</f>
        <v>0</v>
      </c>
      <c r="G10">
        <f>ROUND(IFERROR(F10*(1+'[Assumptions.xlsx]Global'!$B$10*0.9),F10),0)</f>
        <v>0</v>
      </c>
      <c r="H10">
        <v>90000</v>
      </c>
      <c r="I10" t="str">
        <v>Mid</v>
      </c>
    </row>
    <row r="11">
      <c r="A11" t="str">
        <v>G&amp;A</v>
      </c>
      <c r="B11" t="str">
        <v>Finance</v>
      </c>
      <c r="C11">
        <v>3</v>
      </c>
      <c r="D11">
        <f>ROUND(IFERROR(C11*(1+'[Assumptions.xlsx]Global'!$B$10*0.3),C11),0)</f>
        <v>0</v>
      </c>
      <c r="E11">
        <f>ROUND(IFERROR(D11*(1+'[Assumptions.xlsx]Global'!$B$10*0.3),D11),0)</f>
        <v>0</v>
      </c>
      <c r="F11">
        <f>ROUND(IFERROR(E11*(1+'[Assumptions.xlsx]Global'!$B$10*0.3),E11),0)</f>
        <v>0</v>
      </c>
      <c r="G11">
        <f>ROUND(IFERROR(F11*(1+'[Assumptions.xlsx]Global'!$B$10*0.3),F11),0)</f>
        <v>0</v>
      </c>
      <c r="H11">
        <v>110000</v>
      </c>
      <c r="I11" t="str">
        <v>Senior</v>
      </c>
    </row>
    <row r="12">
      <c r="A12" t="str">
        <v>G&amp;A</v>
      </c>
      <c r="B12" t="str">
        <v>HR</v>
      </c>
      <c r="C12">
        <v>2</v>
      </c>
      <c r="D12">
        <f>ROUND(IFERROR(C12*(1+'[Assumptions.xlsx]Global'!$B$10*0.2),C12),0)</f>
        <v>0</v>
      </c>
      <c r="E12">
        <f>ROUND(IFERROR(D12*(1+'[Assumptions.xlsx]Global'!$B$10*0.2),D12),0)</f>
        <v>0</v>
      </c>
      <c r="F12">
        <f>ROUND(IFERROR(E12*(1+'[Assumptions.xlsx]Global'!$B$10*0.2),E12),0)</f>
        <v>0</v>
      </c>
      <c r="G12">
        <f>ROUND(IFERROR(F12*(1+'[Assumptions.xlsx]Global'!$B$10*0.2),F12),0)</f>
        <v>0</v>
      </c>
      <c r="H12">
        <v>85000</v>
      </c>
      <c r="I12" t="str">
        <v>Mid</v>
      </c>
    </row>
    <row r="13">
      <c r="A13" t="str">
        <v>G&amp;A</v>
      </c>
      <c r="B13" t="str">
        <v>Legal</v>
      </c>
      <c r="C13">
        <v>2</v>
      </c>
      <c r="D13">
        <f>ROUND(IFERROR(C13*(1+'[Assumptions.xlsx]Global'!$B$10*0.1),C13),0)</f>
        <v>0</v>
      </c>
      <c r="E13">
        <f>ROUND(IFERROR(D13*(1+'[Assumptions.xlsx]Global'!$B$10*0.1),D13),0)</f>
        <v>0</v>
      </c>
      <c r="F13">
        <f>ROUND(IFERROR(E13*(1+'[Assumptions.xlsx]Global'!$B$10*0.1),E13),0)</f>
        <v>0</v>
      </c>
      <c r="G13">
        <f>ROUND(IFERROR(F13*(1+'[Assumptions.xlsx]Global'!$B$10*0.1),F13),0)</f>
        <v>0</v>
      </c>
      <c r="H13">
        <v>130000</v>
      </c>
      <c r="I13" t="str">
        <v>Senior</v>
      </c>
    </row>
    <row r="14">
      <c r="A14" t="str">
        <v>Executive</v>
      </c>
      <c r="B14" t="str">
        <v>C-Suite</v>
      </c>
      <c r="C14">
        <v>4</v>
      </c>
      <c r="D14">
        <v>4</v>
      </c>
      <c r="E14">
        <v>4</v>
      </c>
      <c r="F14">
        <v>5</v>
      </c>
      <c r="G14">
        <v>5</v>
      </c>
      <c r="H14">
        <v>250000</v>
      </c>
      <c r="I14" t="str">
        <v>Executive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Department</v>
      </c>
      <c r="B1" t="str">
        <v>Role</v>
      </c>
      <c r="C1">
        <v>2024</v>
      </c>
      <c r="D1">
        <v>2025</v>
      </c>
      <c r="E1">
        <v>2026</v>
      </c>
      <c r="F1">
        <v>2027</v>
      </c>
      <c r="G1">
        <v>2028</v>
      </c>
    </row>
    <row r="2">
      <c r="A2" t="str">
        <v>Engineering</v>
      </c>
      <c r="B2" t="str">
        <v>Developer</v>
      </c>
      <c r="C2">
        <f>IFERROR(Headcount!C2*Headcount!$H2*(1+'[Assumptions.xlsx]Global'!$B$11)^0*(1+'[Assumptions.xlsx]Global'!$B$12),0)</f>
        <v>0</v>
      </c>
      <c r="D2">
        <f>IFERROR(Headcount!D2*Headcount!$H2*(1+'[Assumptions.xlsx]Global'!$B$11)^1*(1+'[Assumptions.xlsx]Global'!$B$12),0)</f>
        <v>0</v>
      </c>
      <c r="E2">
        <f>IFERROR(Headcount!E2*Headcount!$H2*(1+'[Assumptions.xlsx]Global'!$B$11)^2*(1+'[Assumptions.xlsx]Global'!$B$12),0)</f>
        <v>0</v>
      </c>
      <c r="F2">
        <f>IFERROR(Headcount!F2*Headcount!$H2*(1+'[Assumptions.xlsx]Global'!$B$11)^3*(1+'[Assumptions.xlsx]Global'!$B$12),0)</f>
        <v>0</v>
      </c>
      <c r="G2">
        <f>IFERROR(Headcount!G2*Headcount!$H2*(1+'[Assumptions.xlsx]Global'!$B$11)^4*(1+'[Assumptions.xlsx]Global'!$B$12),0)</f>
        <v>0</v>
      </c>
    </row>
    <row r="3">
      <c r="A3" t="str">
        <v>Engineering</v>
      </c>
      <c r="B3" t="str">
        <v>QA</v>
      </c>
      <c r="C3">
        <f>IFERROR(Headcount!C3*Headcount!$H3*(1+'[Assumptions.xlsx]Global'!$B$11)^0*(1+'[Assumptions.xlsx]Global'!$B$12),0)</f>
        <v>0</v>
      </c>
      <c r="D3">
        <f>IFERROR(Headcount!D3*Headcount!$H3*(1+'[Assumptions.xlsx]Global'!$B$11)^1*(1+'[Assumptions.xlsx]Global'!$B$12),0)</f>
        <v>0</v>
      </c>
      <c r="E3">
        <f>IFERROR(Headcount!E3*Headcount!$H3*(1+'[Assumptions.xlsx]Global'!$B$11)^2*(1+'[Assumptions.xlsx]Global'!$B$12),0)</f>
        <v>0</v>
      </c>
      <c r="F3">
        <f>IFERROR(Headcount!F3*Headcount!$H3*(1+'[Assumptions.xlsx]Global'!$B$11)^3*(1+'[Assumptions.xlsx]Global'!$B$12),0)</f>
        <v>0</v>
      </c>
      <c r="G3">
        <f>IFERROR(Headcount!G3*Headcount!$H3*(1+'[Assumptions.xlsx]Global'!$B$11)^4*(1+'[Assumptions.xlsx]Global'!$B$12),0)</f>
        <v>0</v>
      </c>
    </row>
    <row r="4">
      <c r="A4" t="str">
        <v>Engineering</v>
      </c>
      <c r="B4" t="str">
        <v>DevOps</v>
      </c>
      <c r="C4">
        <f>IFERROR(Headcount!C4*Headcount!$H4*(1+'[Assumptions.xlsx]Global'!$B$11)^0*(1+'[Assumptions.xlsx]Global'!$B$12),0)</f>
        <v>0</v>
      </c>
      <c r="D4">
        <f>IFERROR(Headcount!D4*Headcount!$H4*(1+'[Assumptions.xlsx]Global'!$B$11)^1*(1+'[Assumptions.xlsx]Global'!$B$12),0)</f>
        <v>0</v>
      </c>
      <c r="E4">
        <f>IFERROR(Headcount!E4*Headcount!$H4*(1+'[Assumptions.xlsx]Global'!$B$11)^2*(1+'[Assumptions.xlsx]Global'!$B$12),0)</f>
        <v>0</v>
      </c>
      <c r="F4">
        <f>IFERROR(Headcount!F4*Headcount!$H4*(1+'[Assumptions.xlsx]Global'!$B$11)^3*(1+'[Assumptions.xlsx]Global'!$B$12),0)</f>
        <v>0</v>
      </c>
      <c r="G4">
        <f>IFERROR(Headcount!G4*Headcount!$H4*(1+'[Assumptions.xlsx]Global'!$B$11)^4*(1+'[Assumptions.xlsx]Global'!$B$12),0)</f>
        <v>0</v>
      </c>
    </row>
    <row r="5">
      <c r="A5" t="str">
        <v>Engineering</v>
      </c>
      <c r="B5" t="str">
        <v>Manager</v>
      </c>
      <c r="C5">
        <f>IFERROR(Headcount!C5*Headcount!$H5*(1+'[Assumptions.xlsx]Global'!$B$11)^0*(1+'[Assumptions.xlsx]Global'!$B$12),0)</f>
        <v>0</v>
      </c>
      <c r="D5">
        <f>IFERROR(Headcount!D5*Headcount!$H5*(1+'[Assumptions.xlsx]Global'!$B$11)^1*(1+'[Assumptions.xlsx]Global'!$B$12),0)</f>
        <v>0</v>
      </c>
      <c r="E5">
        <f>IFERROR(Headcount!E5*Headcount!$H5*(1+'[Assumptions.xlsx]Global'!$B$11)^2*(1+'[Assumptions.xlsx]Global'!$B$12),0)</f>
        <v>0</v>
      </c>
      <c r="F5">
        <f>IFERROR(Headcount!F5*Headcount!$H5*(1+'[Assumptions.xlsx]Global'!$B$11)^3*(1+'[Assumptions.xlsx]Global'!$B$12),0)</f>
        <v>0</v>
      </c>
      <c r="G5">
        <f>IFERROR(Headcount!G5*Headcount!$H5*(1+'[Assumptions.xlsx]Global'!$B$11)^4*(1+'[Assumptions.xlsx]Global'!$B$12),0)</f>
        <v>0</v>
      </c>
    </row>
    <row r="6">
      <c r="A6" t="str">
        <v>Sales</v>
      </c>
      <c r="B6" t="str">
        <v>Account Exec</v>
      </c>
      <c r="C6">
        <f>IFERROR(Headcount!C6*Headcount!$H6*(1+'[Assumptions.xlsx]Global'!$B$11)^0*(1+'[Assumptions.xlsx]Global'!$B$12),0)</f>
        <v>0</v>
      </c>
      <c r="D6">
        <f>IFERROR(Headcount!D6*Headcount!$H6*(1+'[Assumptions.xlsx]Global'!$B$11)^1*(1+'[Assumptions.xlsx]Global'!$B$12),0)</f>
        <v>0</v>
      </c>
      <c r="E6">
        <f>IFERROR(Headcount!E6*Headcount!$H6*(1+'[Assumptions.xlsx]Global'!$B$11)^2*(1+'[Assumptions.xlsx]Global'!$B$12),0)</f>
        <v>0</v>
      </c>
      <c r="F6">
        <f>IFERROR(Headcount!F6*Headcount!$H6*(1+'[Assumptions.xlsx]Global'!$B$11)^3*(1+'[Assumptions.xlsx]Global'!$B$12),0)</f>
        <v>0</v>
      </c>
      <c r="G6">
        <f>IFERROR(Headcount!G6*Headcount!$H6*(1+'[Assumptions.xlsx]Global'!$B$11)^4*(1+'[Assumptions.xlsx]Global'!$B$12),0)</f>
        <v>0</v>
      </c>
    </row>
    <row r="7">
      <c r="A7" t="str">
        <v>Sales</v>
      </c>
      <c r="B7" t="str">
        <v>SDR</v>
      </c>
      <c r="C7">
        <f>IFERROR(Headcount!C7*Headcount!$H7*(1+'[Assumptions.xlsx]Global'!$B$11)^0*(1+'[Assumptions.xlsx]Global'!$B$12),0)</f>
        <v>0</v>
      </c>
      <c r="D7">
        <f>IFERROR(Headcount!D7*Headcount!$H7*(1+'[Assumptions.xlsx]Global'!$B$11)^1*(1+'[Assumptions.xlsx]Global'!$B$12),0)</f>
        <v>0</v>
      </c>
      <c r="E7">
        <f>IFERROR(Headcount!E7*Headcount!$H7*(1+'[Assumptions.xlsx]Global'!$B$11)^2*(1+'[Assumptions.xlsx]Global'!$B$12),0)</f>
        <v>0</v>
      </c>
      <c r="F7">
        <f>IFERROR(Headcount!F7*Headcount!$H7*(1+'[Assumptions.xlsx]Global'!$B$11)^3*(1+'[Assumptions.xlsx]Global'!$B$12),0)</f>
        <v>0</v>
      </c>
      <c r="G7">
        <f>IFERROR(Headcount!G7*Headcount!$H7*(1+'[Assumptions.xlsx]Global'!$B$11)^4*(1+'[Assumptions.xlsx]Global'!$B$12),0)</f>
        <v>0</v>
      </c>
    </row>
    <row r="8">
      <c r="A8" t="str">
        <v>Sales</v>
      </c>
      <c r="B8" t="str">
        <v>Manager</v>
      </c>
      <c r="C8">
        <f>IFERROR(Headcount!C8*Headcount!$H8*(1+'[Assumptions.xlsx]Global'!$B$11)^0*(1+'[Assumptions.xlsx]Global'!$B$12),0)</f>
        <v>0</v>
      </c>
      <c r="D8">
        <f>IFERROR(Headcount!D8*Headcount!$H8*(1+'[Assumptions.xlsx]Global'!$B$11)^1*(1+'[Assumptions.xlsx]Global'!$B$12),0)</f>
        <v>0</v>
      </c>
      <c r="E8">
        <f>IFERROR(Headcount!E8*Headcount!$H8*(1+'[Assumptions.xlsx]Global'!$B$11)^2*(1+'[Assumptions.xlsx]Global'!$B$12),0)</f>
        <v>0</v>
      </c>
      <c r="F8">
        <f>IFERROR(Headcount!F8*Headcount!$H8*(1+'[Assumptions.xlsx]Global'!$B$11)^3*(1+'[Assumptions.xlsx]Global'!$B$12),0)</f>
        <v>0</v>
      </c>
      <c r="G8">
        <f>IFERROR(Headcount!G8*Headcount!$H8*(1+'[Assumptions.xlsx]Global'!$B$11)^4*(1+'[Assumptions.xlsx]Global'!$B$12),0)</f>
        <v>0</v>
      </c>
    </row>
    <row r="9">
      <c r="A9" t="str">
        <v>Marketing</v>
      </c>
      <c r="B9" t="str">
        <v>Content</v>
      </c>
      <c r="C9">
        <f>IFERROR(Headcount!C9*Headcount!$H9*(1+'[Assumptions.xlsx]Global'!$B$11)^0*(1+'[Assumptions.xlsx]Global'!$B$12),0)</f>
        <v>0</v>
      </c>
      <c r="D9">
        <f>IFERROR(Headcount!D9*Headcount!$H9*(1+'[Assumptions.xlsx]Global'!$B$11)^1*(1+'[Assumptions.xlsx]Global'!$B$12),0)</f>
        <v>0</v>
      </c>
      <c r="E9">
        <f>IFERROR(Headcount!E9*Headcount!$H9*(1+'[Assumptions.xlsx]Global'!$B$11)^2*(1+'[Assumptions.xlsx]Global'!$B$12),0)</f>
        <v>0</v>
      </c>
      <c r="F9">
        <f>IFERROR(Headcount!F9*Headcount!$H9*(1+'[Assumptions.xlsx]Global'!$B$11)^3*(1+'[Assumptions.xlsx]Global'!$B$12),0)</f>
        <v>0</v>
      </c>
      <c r="G9">
        <f>IFERROR(Headcount!G9*Headcount!$H9*(1+'[Assumptions.xlsx]Global'!$B$11)^4*(1+'[Assumptions.xlsx]Global'!$B$12),0)</f>
        <v>0</v>
      </c>
    </row>
    <row r="10">
      <c r="A10" t="str">
        <v>Marketing</v>
      </c>
      <c r="B10" t="str">
        <v>Demand Gen</v>
      </c>
      <c r="C10">
        <f>IFERROR(Headcount!C10*Headcount!$H10*(1+'[Assumptions.xlsx]Global'!$B$11)^0*(1+'[Assumptions.xlsx]Global'!$B$12),0)</f>
        <v>0</v>
      </c>
      <c r="D10">
        <f>IFERROR(Headcount!D10*Headcount!$H10*(1+'[Assumptions.xlsx]Global'!$B$11)^1*(1+'[Assumptions.xlsx]Global'!$B$12),0)</f>
        <v>0</v>
      </c>
      <c r="E10">
        <f>IFERROR(Headcount!E10*Headcount!$H10*(1+'[Assumptions.xlsx]Global'!$B$11)^2*(1+'[Assumptions.xlsx]Global'!$B$12),0)</f>
        <v>0</v>
      </c>
      <c r="F10">
        <f>IFERROR(Headcount!F10*Headcount!$H10*(1+'[Assumptions.xlsx]Global'!$B$11)^3*(1+'[Assumptions.xlsx]Global'!$B$12),0)</f>
        <v>0</v>
      </c>
      <c r="G10">
        <f>IFERROR(Headcount!G10*Headcount!$H10*(1+'[Assumptions.xlsx]Global'!$B$11)^4*(1+'[Assumptions.xlsx]Global'!$B$12),0)</f>
        <v>0</v>
      </c>
    </row>
    <row r="11">
      <c r="A11" t="str">
        <v>G&amp;A</v>
      </c>
      <c r="B11" t="str">
        <v>Finance</v>
      </c>
      <c r="C11">
        <f>IFERROR(Headcount!C11*Headcount!$H11*(1+'[Assumptions.xlsx]Global'!$B$11)^0*(1+'[Assumptions.xlsx]Global'!$B$12),0)</f>
        <v>0</v>
      </c>
      <c r="D11">
        <f>IFERROR(Headcount!D11*Headcount!$H11*(1+'[Assumptions.xlsx]Global'!$B$11)^1*(1+'[Assumptions.xlsx]Global'!$B$12),0)</f>
        <v>0</v>
      </c>
      <c r="E11">
        <f>IFERROR(Headcount!E11*Headcount!$H11*(1+'[Assumptions.xlsx]Global'!$B$11)^2*(1+'[Assumptions.xlsx]Global'!$B$12),0)</f>
        <v>0</v>
      </c>
      <c r="F11">
        <f>IFERROR(Headcount!F11*Headcount!$H11*(1+'[Assumptions.xlsx]Global'!$B$11)^3*(1+'[Assumptions.xlsx]Global'!$B$12),0)</f>
        <v>0</v>
      </c>
      <c r="G11">
        <f>IFERROR(Headcount!G11*Headcount!$H11*(1+'[Assumptions.xlsx]Global'!$B$11)^4*(1+'[Assumptions.xlsx]Global'!$B$12),0)</f>
        <v>0</v>
      </c>
    </row>
    <row r="12">
      <c r="A12" t="str">
        <v>G&amp;A</v>
      </c>
      <c r="B12" t="str">
        <v>HR</v>
      </c>
      <c r="C12">
        <f>IFERROR(Headcount!C12*Headcount!$H12*(1+'[Assumptions.xlsx]Global'!$B$11)^0*(1+'[Assumptions.xlsx]Global'!$B$12),0)</f>
        <v>0</v>
      </c>
      <c r="D12">
        <f>IFERROR(Headcount!D12*Headcount!$H12*(1+'[Assumptions.xlsx]Global'!$B$11)^1*(1+'[Assumptions.xlsx]Global'!$B$12),0)</f>
        <v>0</v>
      </c>
      <c r="E12">
        <f>IFERROR(Headcount!E12*Headcount!$H12*(1+'[Assumptions.xlsx]Global'!$B$11)^2*(1+'[Assumptions.xlsx]Global'!$B$12),0)</f>
        <v>0</v>
      </c>
      <c r="F12">
        <f>IFERROR(Headcount!F12*Headcount!$H12*(1+'[Assumptions.xlsx]Global'!$B$11)^3*(1+'[Assumptions.xlsx]Global'!$B$12),0)</f>
        <v>0</v>
      </c>
      <c r="G12">
        <f>IFERROR(Headcount!G12*Headcount!$H12*(1+'[Assumptions.xlsx]Global'!$B$11)^4*(1+'[Assumptions.xlsx]Global'!$B$12),0)</f>
        <v>0</v>
      </c>
    </row>
    <row r="13">
      <c r="A13" t="str">
        <v>G&amp;A</v>
      </c>
      <c r="B13" t="str">
        <v>Legal</v>
      </c>
      <c r="C13">
        <f>IFERROR(Headcount!C13*Headcount!$H13*(1+'[Assumptions.xlsx]Global'!$B$11)^0*(1+'[Assumptions.xlsx]Global'!$B$12),0)</f>
        <v>0</v>
      </c>
      <c r="D13">
        <f>IFERROR(Headcount!D13*Headcount!$H13*(1+'[Assumptions.xlsx]Global'!$B$11)^1*(1+'[Assumptions.xlsx]Global'!$B$12),0)</f>
        <v>0</v>
      </c>
      <c r="E13">
        <f>IFERROR(Headcount!E13*Headcount!$H13*(1+'[Assumptions.xlsx]Global'!$B$11)^2*(1+'[Assumptions.xlsx]Global'!$B$12),0)</f>
        <v>0</v>
      </c>
      <c r="F13">
        <f>IFERROR(Headcount!F13*Headcount!$H13*(1+'[Assumptions.xlsx]Global'!$B$11)^3*(1+'[Assumptions.xlsx]Global'!$B$12),0)</f>
        <v>0</v>
      </c>
      <c r="G13">
        <f>IFERROR(Headcount!G13*Headcount!$H13*(1+'[Assumptions.xlsx]Global'!$B$11)^4*(1+'[Assumptions.xlsx]Global'!$B$12),0)</f>
        <v>0</v>
      </c>
    </row>
    <row r="14">
      <c r="A14" t="str">
        <v>Executive</v>
      </c>
      <c r="B14" t="str">
        <v>C-Suite</v>
      </c>
      <c r="C14">
        <f>IFERROR(Headcount!C14*Headcount!$H14*(1+'[Assumptions.xlsx]Global'!$B$11)^0*(1+'[Assumptions.xlsx]Global'!$B$12),0)</f>
        <v>0</v>
      </c>
      <c r="D14">
        <f>IFERROR(Headcount!D14*Headcount!$H14*(1+'[Assumptions.xlsx]Global'!$B$11)^1*(1+'[Assumptions.xlsx]Global'!$B$12),0)</f>
        <v>0</v>
      </c>
      <c r="E14">
        <f>IFERROR(Headcount!E14*Headcount!$H14*(1+'[Assumptions.xlsx]Global'!$B$11)^2*(1+'[Assumptions.xlsx]Global'!$B$12),0)</f>
        <v>0</v>
      </c>
      <c r="F14">
        <f>IFERROR(Headcount!F14*Headcount!$H14*(1+'[Assumptions.xlsx]Global'!$B$11)^3*(1+'[Assumptions.xlsx]Global'!$B$12),0)</f>
        <v>0</v>
      </c>
      <c r="G14">
        <f>IFERROR(Headcount!G14*Headcount!$H14*(1+'[Assumptions.xlsx]Global'!$B$11)^4*(1+'[Assumptions.xlsx]Global'!$B$12),0)</f>
        <v>0</v>
      </c>
    </row>
    <row r="16">
      <c r="A16" t="str">
        <v>Department Totals</v>
      </c>
    </row>
    <row r="17">
      <c r="A17" t="str">
        <v>Engineering</v>
      </c>
      <c r="C17">
        <f>SUMIFS(C$2:C$14,$A$2:$A$14,"Engineering")</f>
        <v>0</v>
      </c>
      <c r="D17">
        <f>SUMIFS(D$2:D$14,$A$2:$A$14,"Engineering")</f>
        <v>0</v>
      </c>
      <c r="E17">
        <f>SUMIFS(E$2:E$14,$A$2:$A$14,"Engineering")</f>
        <v>0</v>
      </c>
      <c r="F17">
        <f>SUMIFS(F$2:F$14,$A$2:$A$14,"Engineering")</f>
        <v>0</v>
      </c>
      <c r="G17">
        <f>SUMIFS(G$2:G$14,$A$2:$A$14,"Engineering")</f>
        <v>0</v>
      </c>
    </row>
    <row r="18">
      <c r="A18" t="str">
        <v>Sales</v>
      </c>
      <c r="C18">
        <f>SUMIFS(C$2:C$14,$A$2:$A$14,"Sales")</f>
        <v>0</v>
      </c>
      <c r="D18">
        <f>SUMIFS(D$2:D$14,$A$2:$A$14,"Sales")</f>
        <v>0</v>
      </c>
      <c r="E18">
        <f>SUMIFS(E$2:E$14,$A$2:$A$14,"Sales")</f>
        <v>0</v>
      </c>
      <c r="F18">
        <f>SUMIFS(F$2:F$14,$A$2:$A$14,"Sales")</f>
        <v>0</v>
      </c>
      <c r="G18">
        <f>SUMIFS(G$2:G$14,$A$2:$A$14,"Sales")</f>
        <v>0</v>
      </c>
    </row>
    <row r="19">
      <c r="A19" t="str">
        <v>Marketing</v>
      </c>
      <c r="C19">
        <f>SUMIFS(C$2:C$14,$A$2:$A$14,"Marketing")</f>
        <v>0</v>
      </c>
      <c r="D19">
        <f>SUMIFS(D$2:D$14,$A$2:$A$14,"Marketing")</f>
        <v>0</v>
      </c>
      <c r="E19">
        <f>SUMIFS(E$2:E$14,$A$2:$A$14,"Marketing")</f>
        <v>0</v>
      </c>
      <c r="F19">
        <f>SUMIFS(F$2:F$14,$A$2:$A$14,"Marketing")</f>
        <v>0</v>
      </c>
      <c r="G19">
        <f>SUMIFS(G$2:G$14,$A$2:$A$14,"Marketing")</f>
        <v>0</v>
      </c>
    </row>
    <row r="20">
      <c r="A20" t="str">
        <v>G&amp;A</v>
      </c>
      <c r="C20">
        <f>SUMIFS(C$2:C$14,$A$2:$A$14,"G&amp;A")</f>
        <v>0</v>
      </c>
      <c r="D20">
        <f>SUMIFS(D$2:D$14,$A$2:$A$14,"G&amp;A")</f>
        <v>0</v>
      </c>
      <c r="E20">
        <f>SUMIFS(E$2:E$14,$A$2:$A$14,"G&amp;A")</f>
        <v>0</v>
      </c>
      <c r="F20">
        <f>SUMIFS(F$2:F$14,$A$2:$A$14,"G&amp;A")</f>
        <v>0</v>
      </c>
      <c r="G20">
        <f>SUMIFS(G$2:G$14,$A$2:$A$14,"G&amp;A")</f>
        <v>0</v>
      </c>
    </row>
    <row r="21">
      <c r="A21" t="str">
        <v>Executive</v>
      </c>
      <c r="C21">
        <f>SUMIFS(C$2:C$14,$A$2:$A$14,"Executive")</f>
        <v>0</v>
      </c>
      <c r="D21">
        <f>SUMIFS(D$2:D$14,$A$2:$A$14,"Executive")</f>
        <v>0</v>
      </c>
      <c r="E21">
        <f>SUMIFS(E$2:E$14,$A$2:$A$14,"Executive")</f>
        <v>0</v>
      </c>
      <c r="F21">
        <f>SUMIFS(F$2:F$14,$A$2:$A$14,"Executive")</f>
        <v>0</v>
      </c>
      <c r="G21">
        <f>SUMIFS(G$2:G$14,$A$2:$A$14,"Executive")</f>
        <v>0</v>
      </c>
    </row>
  </sheetData>
  <ignoredErrors>
    <ignoredError numberStoredAsText="1" sqref="A1:G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Department</v>
      </c>
      <c r="B1" t="str">
        <v>2024 HC</v>
      </c>
      <c r="C1" t="str">
        <v>2024 Cost</v>
      </c>
      <c r="D1" t="str">
        <v>2028 HC</v>
      </c>
      <c r="E1" t="str">
        <v>2028 Cost</v>
      </c>
    </row>
    <row r="2">
      <c r="A2" t="str">
        <v>Engineering</v>
      </c>
      <c r="B2">
        <f>SUMIFS(Headcount!C:C,Headcount!A:A,"Engineering")</f>
        <v>0</v>
      </c>
      <c r="C2">
        <f>Compensation!C17</f>
        <v>0</v>
      </c>
      <c r="D2">
        <f>SUMIFS(Headcount!G:G,Headcount!A:A,"Engineering")</f>
        <v>0</v>
      </c>
      <c r="E2">
        <f>Compensation!G17</f>
        <v>0</v>
      </c>
    </row>
    <row r="3">
      <c r="A3" t="str">
        <v>Sales</v>
      </c>
      <c r="B3">
        <f>SUMIFS(Headcount!C:C,Headcount!A:A,"Sales")</f>
        <v>0</v>
      </c>
      <c r="C3">
        <f>Compensation!C18</f>
        <v>0</v>
      </c>
      <c r="D3">
        <f>SUMIFS(Headcount!G:G,Headcount!A:A,"Sales")</f>
        <v>0</v>
      </c>
      <c r="E3">
        <f>Compensation!G18</f>
        <v>0</v>
      </c>
    </row>
    <row r="4">
      <c r="A4" t="str">
        <v>Marketing</v>
      </c>
      <c r="B4">
        <f>SUMIFS(Headcount!C:C,Headcount!A:A,"Marketing")</f>
        <v>0</v>
      </c>
      <c r="C4">
        <f>Compensation!C19</f>
        <v>0</v>
      </c>
      <c r="D4">
        <f>SUMIFS(Headcount!G:G,Headcount!A:A,"Marketing")</f>
        <v>0</v>
      </c>
      <c r="E4">
        <f>Compensation!G19</f>
        <v>0</v>
      </c>
    </row>
    <row r="5">
      <c r="A5" t="str">
        <v>G&amp;A</v>
      </c>
      <c r="B5">
        <f>SUMIFS(Headcount!C:C,Headcount!A:A,"G&amp;A")</f>
        <v>0</v>
      </c>
      <c r="C5">
        <f>Compensation!C20</f>
        <v>0</v>
      </c>
      <c r="D5">
        <f>SUMIFS(Headcount!G:G,Headcount!A:A,"G&amp;A")</f>
        <v>0</v>
      </c>
      <c r="E5">
        <f>Compensation!G20</f>
        <v>0</v>
      </c>
    </row>
    <row r="6">
      <c r="A6" t="str">
        <v>Executive</v>
      </c>
      <c r="B6">
        <f>SUMIFS(Headcount!C:C,Headcount!A:A,"Executive")</f>
        <v>0</v>
      </c>
      <c r="C6">
        <f>Compensation!C21</f>
        <v>0</v>
      </c>
      <c r="D6">
        <f>SUMIFS(Headcount!G:G,Headcount!A:A,"Executive")</f>
        <v>0</v>
      </c>
      <c r="E6">
        <f>Compensation!G21</f>
        <v>0</v>
      </c>
    </row>
    <row r="7">
      <c r="A7" t="str">
        <v>Total</v>
      </c>
      <c r="B7">
        <f>SUM(B2:B6)</f>
        <v>0</v>
      </c>
      <c r="C7">
        <f>SUM(C2:C6)</f>
        <v>0</v>
      </c>
      <c r="D7">
        <f>SUM(D2:D6)</f>
        <v>0</v>
      </c>
      <c r="E7">
        <f>SUM(E2:E6)</f>
        <v>0</v>
      </c>
    </row>
    <row r="9">
      <c r="A9" t="str">
        <v>Dynamic Dept</v>
      </c>
      <c r="B9" t="str">
        <v>Engineering</v>
      </c>
      <c r="C9">
        <f>INDIRECT("Headcount!C"&amp;MATCH(B9,Headcount!A:A,0))</f>
        <v>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Headcount</vt:lpstr>
      <vt:lpstr>Compensation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